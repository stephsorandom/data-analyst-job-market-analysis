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tables/table1.xml" ContentType="application/vnd.openxmlformats-officedocument.spreadsheetml.tab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3.xml" ContentType="application/vnd.openxmlformats-officedocument.drawingml.chartshapes+xml"/>
  <Override PartName="/xl/tables/table2.xml" ContentType="application/vnd.openxmlformats-officedocument.spreadsheetml.table+xml"/>
  <Override PartName="/xl/drawings/drawing1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7.xml" ContentType="application/vnd.openxmlformats-officedocument.drawingml.chartshapes+xml"/>
  <Override PartName="/xl/drawings/drawing1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9.xml" ContentType="application/vnd.openxmlformats-officedocument.drawingml.chartshapes+xml"/>
  <Override PartName="/xl/pivotTables/pivotTable1.xml" ContentType="application/vnd.openxmlformats-officedocument.spreadsheetml.pivotTable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E:\#Resume Project\GitHub Project Structure\data\queries_and_charts\"/>
    </mc:Choice>
  </mc:AlternateContent>
  <xr:revisionPtr revIDLastSave="0" documentId="13_ncr:1_{F00EE00D-E89F-48FB-936E-ACDD5A72B0DA}" xr6:coauthVersionLast="47" xr6:coauthVersionMax="47" xr10:uidLastSave="{00000000-0000-0000-0000-000000000000}"/>
  <bookViews>
    <workbookView xWindow="28680" yWindow="-120" windowWidth="29040" windowHeight="15720" firstSheet="3" activeTab="3" xr2:uid="{0F4481DE-35C3-4317-BBF7-D76DC194A434}"/>
  </bookViews>
  <sheets>
    <sheet name="Q1_TopSkills" sheetId="1" r:id="rId1"/>
    <sheet name="Q1_Chart" sheetId="12" r:id="rId2"/>
    <sheet name="Q2_ExperienceSalary" sheetId="2" r:id="rId3"/>
    <sheet name="Q2_Chart" sheetId="13" r:id="rId4"/>
    <sheet name="Q3_TopLocations" sheetId="3" r:id="rId5"/>
    <sheet name="Q3_Chart" sheetId="14" r:id="rId6"/>
    <sheet name="Q4_TopPayingSkills" sheetId="4" r:id="rId7"/>
    <sheet name="Q4_Chart" sheetId="15" r:id="rId8"/>
    <sheet name="Q5_SkillCombos" sheetId="5" r:id="rId9"/>
    <sheet name="Q5_Table" sheetId="16" r:id="rId10"/>
    <sheet name="Q5_Visual" sheetId="17" r:id="rId11"/>
    <sheet name="Q6_PythonComparison" sheetId="6" r:id="rId12"/>
    <sheet name="Q6_Chart" sheetId="18" r:id="rId13"/>
    <sheet name="Q7_RemoteSkills" sheetId="7" r:id="rId14"/>
    <sheet name="Q7_Chart" sheetId="19" r:id="rId15"/>
    <sheet name="Q8_EntryVsEarly" sheetId="8" r:id="rId16"/>
    <sheet name="Q8_Chart" sheetId="20" r:id="rId17"/>
    <sheet name="Q9_Industries" sheetId="9" r:id="rId18"/>
    <sheet name="Q9_Chart_1" sheetId="21" r:id="rId19"/>
    <sheet name="Q9_Chart_2" sheetId="22" r:id="rId20"/>
    <sheet name="Q10_SQLToolCombos" sheetId="10" r:id="rId21"/>
    <sheet name="Q10_Chart" sheetId="23" r:id="rId22"/>
    <sheet name="Q11_IndustrySkillMatrix" sheetId="11" r:id="rId23"/>
    <sheet name="Q11_PivotTable" sheetId="24" r:id="rId24"/>
    <sheet name="PivotTable_Photo" sheetId="26" r:id="rId25"/>
  </sheets>
  <calcPr calcId="191029"/>
  <pivotCaches>
    <pivotCache cacheId="0" r:id="rId2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2" l="1"/>
  <c r="J5" i="2"/>
  <c r="J4" i="2"/>
  <c r="J3" i="2"/>
  <c r="J2" i="2"/>
</calcChain>
</file>

<file path=xl/sharedStrings.xml><?xml version="1.0" encoding="utf-8"?>
<sst xmlns="http://schemas.openxmlformats.org/spreadsheetml/2006/main" count="297" uniqueCount="74">
  <si>
    <t>SQL</t>
  </si>
  <si>
    <t>Excel</t>
  </si>
  <si>
    <t>Power BI</t>
  </si>
  <si>
    <t>Tableau</t>
  </si>
  <si>
    <t>Python</t>
  </si>
  <si>
    <t>R</t>
  </si>
  <si>
    <t>Microsoft Office</t>
  </si>
  <si>
    <t>Data Modeling</t>
  </si>
  <si>
    <t>Reporting</t>
  </si>
  <si>
    <t>Documentation</t>
  </si>
  <si>
    <t>skill</t>
  </si>
  <si>
    <t>frequency</t>
  </si>
  <si>
    <t>percentage</t>
  </si>
  <si>
    <t>experience_required</t>
  </si>
  <si>
    <t>job_count</t>
  </si>
  <si>
    <t>avg_min_salary</t>
  </si>
  <si>
    <t>avg_max_salary</t>
  </si>
  <si>
    <t>avg_mid_salary</t>
  </si>
  <si>
    <t>3+ years</t>
  </si>
  <si>
    <t>2-4 years</t>
  </si>
  <si>
    <t>1-3 years</t>
  </si>
  <si>
    <t>1+ years</t>
  </si>
  <si>
    <t>1-2 years</t>
  </si>
  <si>
    <t>2 years</t>
  </si>
  <si>
    <t>0-3 years</t>
  </si>
  <si>
    <t>1-5 years</t>
  </si>
  <si>
    <t>0-2 years</t>
  </si>
  <si>
    <t>NULL</t>
  </si>
  <si>
    <t>3+</t>
  </si>
  <si>
    <t>0-1 years</t>
  </si>
  <si>
    <t>1 year</t>
  </si>
  <si>
    <t>location</t>
  </si>
  <si>
    <t>number_of_jobs_per_location</t>
  </si>
  <si>
    <t>avg_salary_per_location</t>
  </si>
  <si>
    <t>Chattanooga, TN</t>
  </si>
  <si>
    <t>Phoenix, NY</t>
  </si>
  <si>
    <t>Boston, MA</t>
  </si>
  <si>
    <t>Atlanta, GA</t>
  </si>
  <si>
    <t>Tennessee</t>
  </si>
  <si>
    <t>Denver, CO</t>
  </si>
  <si>
    <t>New York, NY</t>
  </si>
  <si>
    <t>Knoxville, TN</t>
  </si>
  <si>
    <t>Cincinnati, OH</t>
  </si>
  <si>
    <t>skill_count</t>
  </si>
  <si>
    <t>avg_salary</t>
  </si>
  <si>
    <t>skill1</t>
  </si>
  <si>
    <t>skill2</t>
  </si>
  <si>
    <t>skill_pairs</t>
  </si>
  <si>
    <t>pct_of_jobs</t>
  </si>
  <si>
    <t>python_requirement</t>
  </si>
  <si>
    <t>num_jobs</t>
  </si>
  <si>
    <t>No Python Required</t>
  </si>
  <si>
    <t>Python Required</t>
  </si>
  <si>
    <t>skill_count_percentage</t>
  </si>
  <si>
    <t xml:space="preserve">SQL </t>
  </si>
  <si>
    <t>Data Warehousing</t>
  </si>
  <si>
    <t>entry_level</t>
  </si>
  <si>
    <t>early_career</t>
  </si>
  <si>
    <t>difference</t>
  </si>
  <si>
    <t>industry</t>
  </si>
  <si>
    <t>Healthcare Systems</t>
  </si>
  <si>
    <t>IT Services &amp; Consulation</t>
  </si>
  <si>
    <t>HR Benefits &amp; Insurance</t>
  </si>
  <si>
    <t>Business Operations</t>
  </si>
  <si>
    <t>FinTech</t>
  </si>
  <si>
    <t>skill_group</t>
  </si>
  <si>
    <t>SQL + Power BI</t>
  </si>
  <si>
    <t>Other SQL Combinations</t>
  </si>
  <si>
    <t>SQL + Tableau</t>
  </si>
  <si>
    <t>SQL + Excel Only</t>
  </si>
  <si>
    <t>experience_group</t>
  </si>
  <si>
    <t>2-3 years</t>
  </si>
  <si>
    <t>Unspecified</t>
  </si>
  <si>
    <t>Sum of pct_of_jobs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</si>
</sst>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b/>
      <sz val="14"/>
      <color theme="1"/>
      <name val="Calibri"/>
      <family val="2"/>
    </font>
    <font>
      <b/>
      <sz val="1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9" fontId="1" fillId="0" borderId="0" xfId="0" applyNumberFormat="1" applyFont="1"/>
    <xf numFmtId="9" fontId="0" fillId="0" borderId="0" xfId="0" applyNumberFormat="1"/>
    <xf numFmtId="9" fontId="0" fillId="0" borderId="0" xfId="0" applyNumberForma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pivotButton="1" applyFont="1"/>
    <xf numFmtId="0" fontId="4" fillId="0" borderId="0" xfId="0" applyFont="1"/>
  </cellXfs>
  <cellStyles count="1">
    <cellStyle name="Normal" xfId="0" builtinId="0"/>
  </cellStyles>
  <dxfs count="19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3B5A82"/>
      <color rgb="FF1F4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9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 pitchFamily="34" charset="0"/>
              </a:rPr>
              <a:t>Top 10 Most In‑Demand Skills in Job Postings</a:t>
            </a:r>
            <a:endParaRPr lang="en-US" b="1" i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 pitchFamily="34" charset="0"/>
            </a:endParaRPr>
          </a:p>
        </c:rich>
      </c:tx>
      <c:layout>
        <c:manualLayout>
          <c:xMode val="edge"/>
          <c:yMode val="edge"/>
          <c:x val="0.35719814663396021"/>
          <c:y val="3.48015166062492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Q1_TopSkills!$B$1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rgbClr val="3B5A8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50" b="1" i="0" u="none" strike="noStrike" kern="1200" baseline="0">
                    <a:solidFill>
                      <a:sysClr val="windowText" lastClr="000000"/>
                    </a:solidFill>
                    <a:latin typeface="Calibri" panose="020F0502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Q1_TopSkills!$A$2:$A$11</c:f>
              <c:strCache>
                <c:ptCount val="10"/>
                <c:pt idx="0">
                  <c:v>SQL</c:v>
                </c:pt>
                <c:pt idx="1">
                  <c:v>Excel</c:v>
                </c:pt>
                <c:pt idx="2">
                  <c:v>Power BI</c:v>
                </c:pt>
                <c:pt idx="3">
                  <c:v>Tableau</c:v>
                </c:pt>
                <c:pt idx="4">
                  <c:v>Python</c:v>
                </c:pt>
                <c:pt idx="5">
                  <c:v>R</c:v>
                </c:pt>
                <c:pt idx="6">
                  <c:v>Microsoft Office</c:v>
                </c:pt>
                <c:pt idx="7">
                  <c:v>Data Modeling</c:v>
                </c:pt>
                <c:pt idx="8">
                  <c:v>Reporting</c:v>
                </c:pt>
                <c:pt idx="9">
                  <c:v>Documentation</c:v>
                </c:pt>
              </c:strCache>
            </c:strRef>
          </c:cat>
          <c:val>
            <c:numRef>
              <c:f>Q1_TopSkills!$B$2:$B$11</c:f>
              <c:numCache>
                <c:formatCode>General</c:formatCode>
                <c:ptCount val="10"/>
                <c:pt idx="0">
                  <c:v>74</c:v>
                </c:pt>
                <c:pt idx="1">
                  <c:v>55</c:v>
                </c:pt>
                <c:pt idx="2">
                  <c:v>46</c:v>
                </c:pt>
                <c:pt idx="3">
                  <c:v>41</c:v>
                </c:pt>
                <c:pt idx="4">
                  <c:v>35</c:v>
                </c:pt>
                <c:pt idx="5">
                  <c:v>22</c:v>
                </c:pt>
                <c:pt idx="6">
                  <c:v>20</c:v>
                </c:pt>
                <c:pt idx="7">
                  <c:v>12</c:v>
                </c:pt>
                <c:pt idx="8">
                  <c:v>9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48-40F5-B0F2-400385F8C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384629600"/>
        <c:axId val="650236320"/>
      </c:barChart>
      <c:catAx>
        <c:axId val="3846296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236320"/>
        <c:crosses val="autoZero"/>
        <c:auto val="1"/>
        <c:lblAlgn val="ctr"/>
        <c:lblOffset val="100"/>
        <c:noMultiLvlLbl val="0"/>
      </c:catAx>
      <c:valAx>
        <c:axId val="650236320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+mn-ea"/>
                    <a:cs typeface="+mn-cs"/>
                  </a:defRPr>
                </a:pPr>
                <a:r>
                  <a:rPr lang="en-US" sz="1000" b="1" i="0" u="none" strike="noStrike" baseline="0">
                    <a:latin typeface="Calibri" panose="020F0502020204030204" pitchFamily="34" charset="0"/>
                  </a:rPr>
                  <a:t>Frequency</a:t>
                </a:r>
                <a:endParaRPr lang="en-US" b="1" baseline="0">
                  <a:latin typeface="Calibri" panose="020F0502020204030204" pitchFamily="34" charset="0"/>
                </a:endParaRPr>
              </a:p>
            </c:rich>
          </c:tx>
          <c:layout>
            <c:manualLayout>
              <c:xMode val="edge"/>
              <c:yMode val="edge"/>
              <c:x val="0.47808980153926456"/>
              <c:y val="0.940959936912286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384629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r>
              <a:rPr lang="en-US" sz="1400" b="1" i="0" baseline="0">
                <a:latin typeface="Calibri" panose="020F0502020204030204" pitchFamily="34" charset="0"/>
              </a:rPr>
              <a:t>Experience Level vs Average Salary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Q2_ExperienceSalary!$J$1</c:f>
              <c:strCache>
                <c:ptCount val="1"/>
                <c:pt idx="0">
                  <c:v>avg_mid_salary</c:v>
                </c:pt>
              </c:strCache>
            </c:strRef>
          </c:tx>
          <c:spPr>
            <a:solidFill>
              <a:srgbClr val="3B5A82"/>
            </a:solidFill>
            <a:ln>
              <a:noFill/>
            </a:ln>
            <a:effectLst/>
          </c:spPr>
          <c:invertIfNegative val="0"/>
          <c:cat>
            <c:strRef>
              <c:f>Q2_ExperienceSalary!$I$2:$I$6</c:f>
              <c:strCache>
                <c:ptCount val="5"/>
                <c:pt idx="0">
                  <c:v>0-1 years</c:v>
                </c:pt>
                <c:pt idx="1">
                  <c:v>1-2 years</c:v>
                </c:pt>
                <c:pt idx="2">
                  <c:v>2-3 years</c:v>
                </c:pt>
                <c:pt idx="3">
                  <c:v>3+ years</c:v>
                </c:pt>
                <c:pt idx="4">
                  <c:v>Unspecified</c:v>
                </c:pt>
              </c:strCache>
            </c:strRef>
          </c:cat>
          <c:val>
            <c:numRef>
              <c:f>Q2_ExperienceSalary!$J$2:$J$6</c:f>
              <c:numCache>
                <c:formatCode>General</c:formatCode>
                <c:ptCount val="5"/>
                <c:pt idx="0">
                  <c:v>68583.333333333328</c:v>
                </c:pt>
                <c:pt idx="1">
                  <c:v>69965</c:v>
                </c:pt>
                <c:pt idx="2">
                  <c:v>80742</c:v>
                </c:pt>
                <c:pt idx="3">
                  <c:v>125425</c:v>
                </c:pt>
                <c:pt idx="4">
                  <c:v>67711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3D-4851-98EB-73E6E8648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overlap val="-27"/>
        <c:axId val="769629104"/>
        <c:axId val="769624304"/>
      </c:barChart>
      <c:catAx>
        <c:axId val="769629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 b="1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Experience</a:t>
                </a:r>
                <a:r>
                  <a:rPr lang="en-US" b="1" baseline="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 Level</a:t>
                </a:r>
                <a:endParaRPr lang="en-US" b="1"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endParaRPr>
              </a:p>
            </c:rich>
          </c:tx>
          <c:layout>
            <c:manualLayout>
              <c:xMode val="edge"/>
              <c:yMode val="edge"/>
              <c:x val="0.43751726911701472"/>
              <c:y val="0.944151039522887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769624304"/>
        <c:crosses val="autoZero"/>
        <c:auto val="1"/>
        <c:lblAlgn val="ctr"/>
        <c:lblOffset val="100"/>
        <c:noMultiLvlLbl val="0"/>
      </c:catAx>
      <c:valAx>
        <c:axId val="7696243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+mn-ea"/>
                    <a:cs typeface="+mn-cs"/>
                  </a:defRPr>
                </a:pPr>
                <a:r>
                  <a:rPr lang="en-US" b="1" i="0" baseline="0">
                    <a:latin typeface="Calibri" panose="020F0502020204030204" pitchFamily="34" charset="0"/>
                  </a:rPr>
                  <a:t> Average Salary (USD)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769629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r>
              <a:rPr lang="en-US" b="1"/>
              <a:t>Top-Paying</a:t>
            </a:r>
            <a:r>
              <a:rPr lang="en-US" b="1" baseline="0"/>
              <a:t> Locations</a:t>
            </a:r>
          </a:p>
        </c:rich>
      </c:tx>
      <c:layout>
        <c:manualLayout>
          <c:xMode val="edge"/>
          <c:yMode val="edge"/>
          <c:x val="0.42000688976377953"/>
          <c:y val="1.15740740740740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61286089238846"/>
          <c:y val="0.15542049431321084"/>
          <c:w val="0.84602952755905514"/>
          <c:h val="0.8191165427238261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Q3_TopLocations!$J$1</c:f>
              <c:strCache>
                <c:ptCount val="1"/>
                <c:pt idx="0">
                  <c:v>avg_salary_per_location</c:v>
                </c:pt>
              </c:strCache>
            </c:strRef>
          </c:tx>
          <c:spPr>
            <a:solidFill>
              <a:srgbClr val="3B5A82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DFD-49F8-8F7E-F4822530A988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DFD-49F8-8F7E-F4822530A988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DFD-49F8-8F7E-F4822530A988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DFD-49F8-8F7E-F4822530A988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DFD-49F8-8F7E-F4822530A988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DFD-49F8-8F7E-F4822530A988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DFD-49F8-8F7E-F4822530A988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DFD-49F8-8F7E-F4822530A988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DFD-49F8-8F7E-F4822530A98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Q3_TopLocations!$I$2:$I$10</c:f>
              <c:strCache>
                <c:ptCount val="9"/>
                <c:pt idx="0">
                  <c:v>Chattanooga, TN</c:v>
                </c:pt>
                <c:pt idx="1">
                  <c:v>Phoenix, NY</c:v>
                </c:pt>
                <c:pt idx="2">
                  <c:v>Boston, MA</c:v>
                </c:pt>
                <c:pt idx="3">
                  <c:v>Atlanta, GA</c:v>
                </c:pt>
                <c:pt idx="4">
                  <c:v>Tennessee</c:v>
                </c:pt>
                <c:pt idx="5">
                  <c:v>Denver, CO</c:v>
                </c:pt>
                <c:pt idx="6">
                  <c:v>New York, NY</c:v>
                </c:pt>
                <c:pt idx="7">
                  <c:v>Knoxville, TN</c:v>
                </c:pt>
                <c:pt idx="8">
                  <c:v>Cincinnati, OH</c:v>
                </c:pt>
              </c:strCache>
            </c:strRef>
          </c:cat>
          <c:val>
            <c:numRef>
              <c:f>Q3_TopLocations!$J$2:$J$10</c:f>
              <c:numCache>
                <c:formatCode>General</c:formatCode>
                <c:ptCount val="9"/>
                <c:pt idx="0">
                  <c:v>92133</c:v>
                </c:pt>
                <c:pt idx="1">
                  <c:v>77500</c:v>
                </c:pt>
                <c:pt idx="2">
                  <c:v>75986</c:v>
                </c:pt>
                <c:pt idx="3">
                  <c:v>73750</c:v>
                </c:pt>
                <c:pt idx="4">
                  <c:v>70858</c:v>
                </c:pt>
                <c:pt idx="5">
                  <c:v>68071</c:v>
                </c:pt>
                <c:pt idx="6">
                  <c:v>67750</c:v>
                </c:pt>
                <c:pt idx="7">
                  <c:v>64933</c:v>
                </c:pt>
                <c:pt idx="8">
                  <c:v>62760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FD-49F8-8F7E-F4822530A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801954703"/>
        <c:axId val="801955183"/>
      </c:barChart>
      <c:catAx>
        <c:axId val="80195470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801955183"/>
        <c:crosses val="autoZero"/>
        <c:auto val="1"/>
        <c:lblAlgn val="ctr"/>
        <c:lblOffset val="100"/>
        <c:noMultiLvlLbl val="0"/>
      </c:catAx>
      <c:valAx>
        <c:axId val="801955183"/>
        <c:scaling>
          <c:orientation val="minMax"/>
        </c:scaling>
        <c:delete val="0"/>
        <c:axPos val="t"/>
        <c:numFmt formatCode="#,##0" sourceLinked="0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801954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 baseline="0">
          <a:latin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Highest‑Paying Skills</a:t>
            </a:r>
            <a:endParaRPr lang="en-US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3241469816273"/>
          <c:y val="0.14650061971420239"/>
          <c:w val="0.84634186351706042"/>
          <c:h val="0.8280364173228346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Q4_TopPayingSkills!$H$1</c:f>
              <c:strCache>
                <c:ptCount val="1"/>
                <c:pt idx="0">
                  <c:v>avg_salary</c:v>
                </c:pt>
              </c:strCache>
            </c:strRef>
          </c:tx>
          <c:spPr>
            <a:solidFill>
              <a:srgbClr val="3B5A82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Q4_TopPayingSkills!$G$2:$G$8</c:f>
              <c:strCache>
                <c:ptCount val="7"/>
                <c:pt idx="0">
                  <c:v>Python</c:v>
                </c:pt>
                <c:pt idx="1">
                  <c:v>SQL</c:v>
                </c:pt>
                <c:pt idx="2">
                  <c:v>R</c:v>
                </c:pt>
                <c:pt idx="3">
                  <c:v>Tableau</c:v>
                </c:pt>
                <c:pt idx="4">
                  <c:v>Power BI</c:v>
                </c:pt>
                <c:pt idx="5">
                  <c:v>Excel</c:v>
                </c:pt>
                <c:pt idx="6">
                  <c:v>Microsoft Office</c:v>
                </c:pt>
              </c:strCache>
            </c:strRef>
          </c:cat>
          <c:val>
            <c:numRef>
              <c:f>Q4_TopPayingSkills!$H$2:$H$8</c:f>
              <c:numCache>
                <c:formatCode>General</c:formatCode>
                <c:ptCount val="7"/>
                <c:pt idx="0">
                  <c:v>80725</c:v>
                </c:pt>
                <c:pt idx="1">
                  <c:v>75773</c:v>
                </c:pt>
                <c:pt idx="2">
                  <c:v>72094</c:v>
                </c:pt>
                <c:pt idx="3">
                  <c:v>71599</c:v>
                </c:pt>
                <c:pt idx="4">
                  <c:v>70941</c:v>
                </c:pt>
                <c:pt idx="5">
                  <c:v>69021</c:v>
                </c:pt>
                <c:pt idx="6">
                  <c:v>68711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13-44D0-AFFB-00C1D1A94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881366191"/>
        <c:axId val="881372431"/>
      </c:barChart>
      <c:catAx>
        <c:axId val="88136619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881372431"/>
        <c:crosses val="autoZero"/>
        <c:auto val="1"/>
        <c:lblAlgn val="ctr"/>
        <c:lblOffset val="100"/>
        <c:noMultiLvlLbl val="0"/>
      </c:catAx>
      <c:valAx>
        <c:axId val="881372431"/>
        <c:scaling>
          <c:orientation val="minMax"/>
        </c:scaling>
        <c:delete val="0"/>
        <c:axPos val="t"/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881366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effectLst/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Python vs Non‑Python Salary Comparison</a:t>
            </a:r>
            <a:endParaRPr lang="en-US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Q6_PythonComparison!$G$1</c:f>
              <c:strCache>
                <c:ptCount val="1"/>
                <c:pt idx="0">
                  <c:v>avg_salary</c:v>
                </c:pt>
              </c:strCache>
            </c:strRef>
          </c:tx>
          <c:spPr>
            <a:solidFill>
              <a:srgbClr val="3B5A82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Q6_PythonComparison!$F$2:$F$3</c:f>
              <c:strCache>
                <c:ptCount val="2"/>
                <c:pt idx="0">
                  <c:v>No Python Required</c:v>
                </c:pt>
                <c:pt idx="1">
                  <c:v>Python Required</c:v>
                </c:pt>
              </c:strCache>
            </c:strRef>
          </c:cat>
          <c:val>
            <c:numRef>
              <c:f>Q6_PythonComparison!$G$2:$G$3</c:f>
              <c:numCache>
                <c:formatCode>General</c:formatCode>
                <c:ptCount val="2"/>
                <c:pt idx="0">
                  <c:v>69004.386362999998</c:v>
                </c:pt>
                <c:pt idx="1">
                  <c:v>80725.785713999998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C1-42A3-B79C-EBDAF4186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overlap val="-27"/>
        <c:axId val="802332207"/>
        <c:axId val="802333647"/>
      </c:barChart>
      <c:catAx>
        <c:axId val="80233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802333647"/>
        <c:crosses val="autoZero"/>
        <c:auto val="1"/>
        <c:lblAlgn val="ctr"/>
        <c:lblOffset val="100"/>
        <c:noMultiLvlLbl val="0"/>
      </c:catAx>
      <c:valAx>
        <c:axId val="802333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802332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Most Common Skills in Remote Job Postings</a:t>
            </a:r>
            <a:endParaRPr lang="en-US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905741469816273"/>
          <c:y val="0.14187099008457274"/>
          <c:w val="0.84099814085739277"/>
          <c:h val="0.8326660469524642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Q7_RemoteSkills!$B$1</c:f>
              <c:strCache>
                <c:ptCount val="1"/>
                <c:pt idx="0">
                  <c:v>skill_count</c:v>
                </c:pt>
              </c:strCache>
            </c:strRef>
          </c:tx>
          <c:spPr>
            <a:solidFill>
              <a:srgbClr val="3B5A8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Q7_RemoteSkills!$A$2:$A$11</c:f>
              <c:strCache>
                <c:ptCount val="10"/>
                <c:pt idx="0">
                  <c:v>SQL </c:v>
                </c:pt>
                <c:pt idx="1">
                  <c:v>Excel</c:v>
                </c:pt>
                <c:pt idx="2">
                  <c:v>Tableau</c:v>
                </c:pt>
                <c:pt idx="3">
                  <c:v>Power BI</c:v>
                </c:pt>
                <c:pt idx="4">
                  <c:v>Python</c:v>
                </c:pt>
                <c:pt idx="5">
                  <c:v>R</c:v>
                </c:pt>
                <c:pt idx="6">
                  <c:v>Microsoft Office</c:v>
                </c:pt>
                <c:pt idx="7">
                  <c:v>Data Modeling</c:v>
                </c:pt>
                <c:pt idx="8">
                  <c:v>Documentation</c:v>
                </c:pt>
                <c:pt idx="9">
                  <c:v>Data Warehousing</c:v>
                </c:pt>
              </c:strCache>
            </c:strRef>
          </c:cat>
          <c:val>
            <c:numRef>
              <c:f>Q7_RemoteSkills!$B$2:$B$11</c:f>
              <c:numCache>
                <c:formatCode>General</c:formatCode>
                <c:ptCount val="10"/>
                <c:pt idx="0">
                  <c:v>42</c:v>
                </c:pt>
                <c:pt idx="1">
                  <c:v>37</c:v>
                </c:pt>
                <c:pt idx="2">
                  <c:v>24</c:v>
                </c:pt>
                <c:pt idx="3">
                  <c:v>24</c:v>
                </c:pt>
                <c:pt idx="4">
                  <c:v>18</c:v>
                </c:pt>
                <c:pt idx="5">
                  <c:v>13</c:v>
                </c:pt>
                <c:pt idx="6">
                  <c:v>10</c:v>
                </c:pt>
                <c:pt idx="7">
                  <c:v>7</c:v>
                </c:pt>
                <c:pt idx="8">
                  <c:v>6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35-41C2-8E76-4802EE6D7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1160546751"/>
        <c:axId val="1160549151"/>
      </c:barChart>
      <c:catAx>
        <c:axId val="116054675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160549151"/>
        <c:crosses val="autoZero"/>
        <c:auto val="1"/>
        <c:lblAlgn val="ctr"/>
        <c:lblOffset val="100"/>
        <c:noMultiLvlLbl val="0"/>
      </c:catAx>
      <c:valAx>
        <c:axId val="1160549151"/>
        <c:scaling>
          <c:orientation val="minMax"/>
        </c:scaling>
        <c:delete val="0"/>
        <c:axPos val="t"/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160546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Entry‑Level vs Early‑Career Skill Requirements</a:t>
            </a:r>
            <a:endParaRPr lang="en-US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3241469816273"/>
          <c:y val="0.14418580489938757"/>
          <c:w val="0.85878980752405953"/>
          <c:h val="0.7773995698454360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Q8_EntryVsEarly!$B$1</c:f>
              <c:strCache>
                <c:ptCount val="1"/>
                <c:pt idx="0">
                  <c:v>entry_level</c:v>
                </c:pt>
              </c:strCache>
            </c:strRef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A1ED-434C-8B1F-121CDA75F4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Q8_EntryVsEarly!$A$2:$A$8</c:f>
              <c:strCache>
                <c:ptCount val="7"/>
                <c:pt idx="0">
                  <c:v>Tableau</c:v>
                </c:pt>
                <c:pt idx="1">
                  <c:v>Power BI</c:v>
                </c:pt>
                <c:pt idx="2">
                  <c:v>Python</c:v>
                </c:pt>
                <c:pt idx="3">
                  <c:v>SQL</c:v>
                </c:pt>
                <c:pt idx="4">
                  <c:v>R</c:v>
                </c:pt>
                <c:pt idx="5">
                  <c:v>Excel</c:v>
                </c:pt>
                <c:pt idx="6">
                  <c:v>Microsoft Office</c:v>
                </c:pt>
              </c:strCache>
            </c:strRef>
          </c:cat>
          <c:val>
            <c:numRef>
              <c:f>Q8_EntryVsEarly!$B$2:$B$8</c:f>
              <c:numCache>
                <c:formatCode>General</c:formatCode>
                <c:ptCount val="7"/>
                <c:pt idx="0">
                  <c:v>11</c:v>
                </c:pt>
                <c:pt idx="1">
                  <c:v>13</c:v>
                </c:pt>
                <c:pt idx="2">
                  <c:v>8</c:v>
                </c:pt>
                <c:pt idx="3">
                  <c:v>26</c:v>
                </c:pt>
                <c:pt idx="4">
                  <c:v>9</c:v>
                </c:pt>
                <c:pt idx="5">
                  <c:v>19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ED-434C-8B1F-121CDA75F4EC}"/>
            </c:ext>
          </c:extLst>
        </c:ser>
        <c:ser>
          <c:idx val="1"/>
          <c:order val="1"/>
          <c:tx>
            <c:strRef>
              <c:f>Q8_EntryVsEarly!$C$1</c:f>
              <c:strCache>
                <c:ptCount val="1"/>
                <c:pt idx="0">
                  <c:v>early_career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Q8_EntryVsEarly!$A$2:$A$8</c:f>
              <c:strCache>
                <c:ptCount val="7"/>
                <c:pt idx="0">
                  <c:v>Tableau</c:v>
                </c:pt>
                <c:pt idx="1">
                  <c:v>Power BI</c:v>
                </c:pt>
                <c:pt idx="2">
                  <c:v>Python</c:v>
                </c:pt>
                <c:pt idx="3">
                  <c:v>SQL</c:v>
                </c:pt>
                <c:pt idx="4">
                  <c:v>R</c:v>
                </c:pt>
                <c:pt idx="5">
                  <c:v>Excel</c:v>
                </c:pt>
                <c:pt idx="6">
                  <c:v>Microsoft Office</c:v>
                </c:pt>
              </c:strCache>
            </c:strRef>
          </c:cat>
          <c:val>
            <c:numRef>
              <c:f>Q8_EntryVsEarly!$C$2:$C$8</c:f>
              <c:numCache>
                <c:formatCode>General</c:formatCode>
                <c:ptCount val="7"/>
                <c:pt idx="0">
                  <c:v>25</c:v>
                </c:pt>
                <c:pt idx="1">
                  <c:v>25</c:v>
                </c:pt>
                <c:pt idx="2">
                  <c:v>20</c:v>
                </c:pt>
                <c:pt idx="3">
                  <c:v>34</c:v>
                </c:pt>
                <c:pt idx="4">
                  <c:v>11</c:v>
                </c:pt>
                <c:pt idx="5">
                  <c:v>20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ED-434C-8B1F-121CDA75F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946738255"/>
        <c:axId val="946737295"/>
      </c:barChart>
      <c:catAx>
        <c:axId val="94673825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946737295"/>
        <c:crosses val="autoZero"/>
        <c:auto val="1"/>
        <c:lblAlgn val="ctr"/>
        <c:lblOffset val="100"/>
        <c:noMultiLvlLbl val="0"/>
      </c:catAx>
      <c:valAx>
        <c:axId val="946737295"/>
        <c:scaling>
          <c:orientation val="minMax"/>
        </c:scaling>
        <c:delete val="0"/>
        <c:axPos val="t"/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946738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Industries Hiring the Most</a:t>
            </a:r>
            <a:endParaRPr lang="en-US" b="1"/>
          </a:p>
        </c:rich>
      </c:tx>
      <c:layout>
        <c:manualLayout>
          <c:xMode val="edge"/>
          <c:yMode val="edge"/>
          <c:x val="0.42221522309711285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717574365704288"/>
          <c:y val="0.14863024934383201"/>
          <c:w val="0.80565758967629042"/>
          <c:h val="0.8259067876932050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Q9_Industries!$B$1</c:f>
              <c:strCache>
                <c:ptCount val="1"/>
                <c:pt idx="0">
                  <c:v>job_count</c:v>
                </c:pt>
              </c:strCache>
            </c:strRef>
          </c:tx>
          <c:spPr>
            <a:solidFill>
              <a:srgbClr val="3B5A8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Q9_Industries!$A$2:$A$7</c:f>
              <c:strCache>
                <c:ptCount val="6"/>
                <c:pt idx="0">
                  <c:v>NULL</c:v>
                </c:pt>
                <c:pt idx="1">
                  <c:v>Healthcare Systems</c:v>
                </c:pt>
                <c:pt idx="2">
                  <c:v>IT Services &amp; Consulation</c:v>
                </c:pt>
                <c:pt idx="3">
                  <c:v>HR Benefits &amp; Insurance</c:v>
                </c:pt>
                <c:pt idx="4">
                  <c:v>Business Operations</c:v>
                </c:pt>
                <c:pt idx="5">
                  <c:v>FinTech</c:v>
                </c:pt>
              </c:strCache>
            </c:strRef>
          </c:cat>
          <c:val>
            <c:numRef>
              <c:f>Q9_Industries!$B$2:$B$7</c:f>
              <c:numCache>
                <c:formatCode>General</c:formatCode>
                <c:ptCount val="6"/>
                <c:pt idx="0">
                  <c:v>31</c:v>
                </c:pt>
                <c:pt idx="1">
                  <c:v>14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1C-49AB-9A60-7A82731A9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881374351"/>
        <c:axId val="881361391"/>
      </c:barChart>
      <c:catAx>
        <c:axId val="88137435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881361391"/>
        <c:crosses val="autoZero"/>
        <c:auto val="1"/>
        <c:lblAlgn val="ctr"/>
        <c:lblOffset val="100"/>
        <c:noMultiLvlLbl val="0"/>
      </c:catAx>
      <c:valAx>
        <c:axId val="881361391"/>
        <c:scaling>
          <c:orientation val="minMax"/>
        </c:scaling>
        <c:delete val="0"/>
        <c:axPos val="t"/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374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r>
              <a:rPr lang="en-US" sz="1400" b="1" i="0" u="none" strike="noStrike" baseline="0"/>
              <a:t>Average Salary by Industry</a:t>
            </a:r>
            <a:endParaRPr lang="en-US"/>
          </a:p>
        </c:rich>
      </c:tx>
      <c:layout>
        <c:manualLayout>
          <c:xMode val="edge"/>
          <c:yMode val="edge"/>
          <c:x val="0.40407283464566923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138812335958005"/>
          <c:y val="0.14604166666666668"/>
          <c:w val="0.81971948818897633"/>
          <c:h val="0.8002586395450570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Q9_Industries!$O$1</c:f>
              <c:strCache>
                <c:ptCount val="1"/>
                <c:pt idx="0">
                  <c:v>avg_salary</c:v>
                </c:pt>
              </c:strCache>
            </c:strRef>
          </c:tx>
          <c:spPr>
            <a:solidFill>
              <a:srgbClr val="3B5A8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3B5A8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07D-43C0-9C2D-2A7FE277AA8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Q9_Industries!$N$2:$N$7</c:f>
              <c:strCache>
                <c:ptCount val="6"/>
                <c:pt idx="0">
                  <c:v>FinTech</c:v>
                </c:pt>
                <c:pt idx="1">
                  <c:v>HR Benefits &amp; Insurance</c:v>
                </c:pt>
                <c:pt idx="2">
                  <c:v>Healthcare Systems</c:v>
                </c:pt>
                <c:pt idx="3">
                  <c:v>NULL</c:v>
                </c:pt>
                <c:pt idx="4">
                  <c:v>Business Operations</c:v>
                </c:pt>
                <c:pt idx="5">
                  <c:v>IT Services &amp; Consulation</c:v>
                </c:pt>
              </c:strCache>
            </c:strRef>
          </c:cat>
          <c:val>
            <c:numRef>
              <c:f>Q9_Industries!$O$2:$O$7</c:f>
              <c:numCache>
                <c:formatCode>General</c:formatCode>
                <c:ptCount val="6"/>
                <c:pt idx="0">
                  <c:v>130800</c:v>
                </c:pt>
                <c:pt idx="1">
                  <c:v>77517</c:v>
                </c:pt>
                <c:pt idx="2">
                  <c:v>71927</c:v>
                </c:pt>
                <c:pt idx="3">
                  <c:v>69339</c:v>
                </c:pt>
                <c:pt idx="4">
                  <c:v>68732</c:v>
                </c:pt>
                <c:pt idx="5">
                  <c:v>52106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75-49F8-B750-C204264CE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1215684095"/>
        <c:axId val="1215685055"/>
      </c:barChart>
      <c:catAx>
        <c:axId val="1215684095"/>
        <c:scaling>
          <c:orientation val="maxMin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215685055"/>
        <c:crosses val="autoZero"/>
        <c:auto val="1"/>
        <c:lblAlgn val="ctr"/>
        <c:lblOffset val="100"/>
        <c:noMultiLvlLbl val="0"/>
      </c:catAx>
      <c:valAx>
        <c:axId val="1215685055"/>
        <c:scaling>
          <c:orientation val="minMax"/>
        </c:scaling>
        <c:delete val="0"/>
        <c:axPos val="t"/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215684095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 b="1" i="0" baseline="0">
          <a:latin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r>
              <a:rPr lang="en-US" sz="1400" b="1" i="0" u="none" strike="noStrike" baseline="0"/>
              <a:t>Average Salary by SQL Tool Combination</a:t>
            </a:r>
            <a:endParaRPr lang="en-US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564523184601924"/>
          <c:y val="0.15344506415864687"/>
          <c:w val="0.81474015748031492"/>
          <c:h val="0.8210919728783904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Q10_SQLToolCombos!$I$1</c:f>
              <c:strCache>
                <c:ptCount val="1"/>
                <c:pt idx="0">
                  <c:v>avg_salary</c:v>
                </c:pt>
              </c:strCache>
            </c:strRef>
          </c:tx>
          <c:spPr>
            <a:solidFill>
              <a:srgbClr val="3B5A8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Q10_SQLToolCombos!$H$2:$H$5</c:f>
              <c:strCache>
                <c:ptCount val="4"/>
                <c:pt idx="0">
                  <c:v>SQL + Power BI</c:v>
                </c:pt>
                <c:pt idx="1">
                  <c:v>Other SQL Combinations</c:v>
                </c:pt>
                <c:pt idx="2">
                  <c:v>SQL + Tableau</c:v>
                </c:pt>
                <c:pt idx="3">
                  <c:v>SQL + Excel Only</c:v>
                </c:pt>
              </c:strCache>
            </c:strRef>
          </c:cat>
          <c:val>
            <c:numRef>
              <c:f>Q10_SQLToolCombos!$I$2:$I$5</c:f>
              <c:numCache>
                <c:formatCode>General</c:formatCode>
                <c:ptCount val="4"/>
                <c:pt idx="0">
                  <c:v>76118</c:v>
                </c:pt>
                <c:pt idx="1">
                  <c:v>73210</c:v>
                </c:pt>
                <c:pt idx="2">
                  <c:v>72890</c:v>
                </c:pt>
                <c:pt idx="3">
                  <c:v>69267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27-4D95-8EA9-8771B2623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1218719663"/>
        <c:axId val="1218719183"/>
      </c:barChart>
      <c:catAx>
        <c:axId val="121871966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218719183"/>
        <c:crosses val="autoZero"/>
        <c:auto val="1"/>
        <c:lblAlgn val="ctr"/>
        <c:lblOffset val="100"/>
        <c:noMultiLvlLbl val="0"/>
      </c:catAx>
      <c:valAx>
        <c:axId val="1218719183"/>
        <c:scaling>
          <c:orientation val="minMax"/>
        </c:scaling>
        <c:delete val="0"/>
        <c:axPos val="t"/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218719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aseline="0">
          <a:latin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0</xdr:colOff>
      <xdr:row>28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0C0F79-AEDB-42F3-A4B4-867B211B2B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0</xdr:colOff>
      <xdr:row>28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E33570-1D48-4F91-9924-8D26BBCE69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561975</xdr:colOff>
      <xdr:row>1</xdr:row>
      <xdr:rowOff>123825</xdr:rowOff>
    </xdr:from>
    <xdr:to>
      <xdr:col>9</xdr:col>
      <xdr:colOff>523875</xdr:colOff>
      <xdr:row>3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9A130CA-16B1-D761-79B7-4EF89E48F1B2}"/>
            </a:ext>
          </a:extLst>
        </xdr:cNvPr>
        <xdr:cNvSpPr txBox="1"/>
      </xdr:nvSpPr>
      <xdr:spPr>
        <a:xfrm>
          <a:off x="3000375" y="314325"/>
          <a:ext cx="3009900" cy="295275"/>
        </a:xfrm>
        <a:prstGeom prst="rect">
          <a:avLst/>
        </a:prstGeom>
        <a:solidFill>
          <a:schemeClr val="bg2">
            <a:lumMod val="9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9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Based</a:t>
          </a:r>
          <a:r>
            <a:rPr lang="en-US" sz="9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on midpoint salary across grouped experience ranges</a:t>
          </a:r>
          <a:endParaRPr lang="en-US" sz="9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15</xdr:col>
      <xdr:colOff>0</xdr:colOff>
      <xdr:row>28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BDFA5C-4DEB-446C-97B7-15537B2BBB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0.45</cdr:x>
      <cdr:y>0.41667</cdr:y>
    </cdr:from>
    <cdr:to>
      <cdr:x>0.55</cdr:x>
      <cdr:y>0.58333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69237DB-6CF5-AD3C-7DA0-15689BB88B02}"/>
            </a:ext>
          </a:extLst>
        </cdr:cNvPr>
        <cdr:cNvSpPr txBox="1"/>
      </cdr:nvSpPr>
      <cdr:spPr>
        <a:xfrm xmlns:a="http://schemas.openxmlformats.org/drawingml/2006/main">
          <a:off x="4114800" y="22860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0.60729</cdr:x>
      <cdr:y>0.03472</cdr:y>
    </cdr:from>
    <cdr:to>
      <cdr:x>0.90104</cdr:x>
      <cdr:y>0.07813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FB2E1887-1AFB-F7D7-018C-D3A2649CC090}"/>
            </a:ext>
          </a:extLst>
        </cdr:cNvPr>
        <cdr:cNvSpPr txBox="1"/>
      </cdr:nvSpPr>
      <cdr:spPr>
        <a:xfrm xmlns:a="http://schemas.openxmlformats.org/drawingml/2006/main">
          <a:off x="5553075" y="190500"/>
          <a:ext cx="2686050" cy="238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0.37083</cdr:x>
      <cdr:y>0.05208</cdr:y>
    </cdr:from>
    <cdr:to>
      <cdr:x>0.63333</cdr:x>
      <cdr:y>0.09896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B63339BC-065D-EA51-F7F1-A556A7280412}"/>
            </a:ext>
          </a:extLst>
        </cdr:cNvPr>
        <cdr:cNvSpPr txBox="1"/>
      </cdr:nvSpPr>
      <cdr:spPr>
        <a:xfrm xmlns:a="http://schemas.openxmlformats.org/drawingml/2006/main">
          <a:off x="3390900" y="285750"/>
          <a:ext cx="2400300" cy="2571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Based on average midpoint salary per location</a:t>
          </a:r>
        </a:p>
        <a:p xmlns:a="http://schemas.openxmlformats.org/drawingml/2006/main">
          <a:endParaRPr lang="en-US" sz="900" kern="12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cdr:txBody>
    </cdr:sp>
  </cdr:relSizeAnchor>
  <cdr:relSizeAnchor xmlns:cdr="http://schemas.openxmlformats.org/drawingml/2006/chartDrawing">
    <cdr:from>
      <cdr:x>0.49896</cdr:x>
      <cdr:y>0.59201</cdr:y>
    </cdr:from>
    <cdr:to>
      <cdr:x>0.59896</cdr:x>
      <cdr:y>0.75868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EEACAB05-3536-2F8E-B096-67A549509E7D}"/>
            </a:ext>
          </a:extLst>
        </cdr:cNvPr>
        <cdr:cNvSpPr txBox="1"/>
      </cdr:nvSpPr>
      <cdr:spPr>
        <a:xfrm xmlns:a="http://schemas.openxmlformats.org/drawingml/2006/main">
          <a:off x="4562475" y="324802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0</xdr:colOff>
      <xdr:row>28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593309-FA33-40B6-84F8-FEC78B7975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0.38264</cdr:x>
      <cdr:y>0.05093</cdr:y>
    </cdr:from>
    <cdr:to>
      <cdr:x>0.67014</cdr:x>
      <cdr:y>0.09343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1F98301B-8A60-8417-C19A-292531486316}"/>
            </a:ext>
          </a:extLst>
        </cdr:cNvPr>
        <cdr:cNvSpPr txBox="1"/>
      </cdr:nvSpPr>
      <cdr:spPr>
        <a:xfrm xmlns:a="http://schemas.openxmlformats.org/drawingml/2006/main">
          <a:off x="3498850" y="279400"/>
          <a:ext cx="2628900" cy="23320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Based on average midpoint salary per skill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38100</xdr:colOff>
      <xdr:row>15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99380FE-5BFD-63C0-A872-F0E2DB37B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33700" cy="2867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0</xdr:colOff>
      <xdr:row>28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A409A5-89AF-46ED-BCDB-DBAA2EFFD6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0.29583</cdr:x>
      <cdr:y>0.05903</cdr:y>
    </cdr:from>
    <cdr:to>
      <cdr:x>0.70104</cdr:x>
      <cdr:y>0.09896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0539233-25F9-125E-CEEF-DB9B9B134320}"/>
            </a:ext>
          </a:extLst>
        </cdr:cNvPr>
        <cdr:cNvSpPr txBox="1"/>
      </cdr:nvSpPr>
      <cdr:spPr>
        <a:xfrm xmlns:a="http://schemas.openxmlformats.org/drawingml/2006/main">
          <a:off x="2705100" y="323851"/>
          <a:ext cx="3705225" cy="2190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Based on average midpoint salary for Python‑required vs non‑Python roles</a:t>
          </a:r>
          <a:endParaRPr lang="en-US" sz="900" kern="12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cdr:txBody>
    </cdr:sp>
  </cdr:relSizeAnchor>
  <cdr:relSizeAnchor xmlns:cdr="http://schemas.openxmlformats.org/drawingml/2006/chartDrawing">
    <cdr:from>
      <cdr:x>0.54896</cdr:x>
      <cdr:y>0.59201</cdr:y>
    </cdr:from>
    <cdr:to>
      <cdr:x>0.64896</cdr:x>
      <cdr:y>0.75868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B71F4E5-5A0F-8FB4-1D8B-393EA81352DA}"/>
            </a:ext>
          </a:extLst>
        </cdr:cNvPr>
        <cdr:cNvSpPr txBox="1"/>
      </cdr:nvSpPr>
      <cdr:spPr>
        <a:xfrm xmlns:a="http://schemas.openxmlformats.org/drawingml/2006/main">
          <a:off x="5019675" y="324802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0</xdr:colOff>
      <xdr:row>28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2BB6F5-D236-492C-9D44-7D742D332B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0.38333</cdr:x>
      <cdr:y>0.05382</cdr:y>
    </cdr:from>
    <cdr:to>
      <cdr:x>0.6375</cdr:x>
      <cdr:y>0.09549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3EC86F0-61C2-1069-9BC1-2972003DE334}"/>
            </a:ext>
          </a:extLst>
        </cdr:cNvPr>
        <cdr:cNvSpPr txBox="1"/>
      </cdr:nvSpPr>
      <cdr:spPr>
        <a:xfrm xmlns:a="http://schemas.openxmlformats.org/drawingml/2006/main">
          <a:off x="3505200" y="295274"/>
          <a:ext cx="2324100" cy="2286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Based on skill frequency in remote‑only roles</a:t>
          </a:r>
          <a:endParaRPr lang="en-US" sz="900" kern="12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cdr:txBody>
    </cdr:sp>
  </cdr:relSizeAnchor>
  <cdr:relSizeAnchor xmlns:cdr="http://schemas.openxmlformats.org/drawingml/2006/chartDrawing">
    <cdr:from>
      <cdr:x>0.32083</cdr:x>
      <cdr:y>0.06076</cdr:y>
    </cdr:from>
    <cdr:to>
      <cdr:x>0.72187</cdr:x>
      <cdr:y>0.10069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F7DEA75-3C81-DDFB-9889-C8E9D71450C7}"/>
            </a:ext>
          </a:extLst>
        </cdr:cNvPr>
        <cdr:cNvSpPr txBox="1"/>
      </cdr:nvSpPr>
      <cdr:spPr>
        <a:xfrm xmlns:a="http://schemas.openxmlformats.org/drawingml/2006/main">
          <a:off x="2933699" y="333375"/>
          <a:ext cx="3667125" cy="2190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0</xdr:colOff>
      <xdr:row>28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C5A764-EBEE-4269-8189-CF131BA94E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0.45</cdr:x>
      <cdr:y>0.41667</cdr:y>
    </cdr:from>
    <cdr:to>
      <cdr:x>0.55</cdr:x>
      <cdr:y>0.58333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24D71EF-3F4B-2461-139B-7C941BA5D331}"/>
            </a:ext>
          </a:extLst>
        </cdr:cNvPr>
        <cdr:cNvSpPr txBox="1"/>
      </cdr:nvSpPr>
      <cdr:spPr>
        <a:xfrm xmlns:a="http://schemas.openxmlformats.org/drawingml/2006/main">
          <a:off x="4114800" y="22860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0.34063</cdr:x>
      <cdr:y>0.05208</cdr:y>
    </cdr:from>
    <cdr:to>
      <cdr:x>0.65417</cdr:x>
      <cdr:y>0.08507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424C5B6B-B378-E743-8402-99C91C852D34}"/>
            </a:ext>
          </a:extLst>
        </cdr:cNvPr>
        <cdr:cNvSpPr txBox="1"/>
      </cdr:nvSpPr>
      <cdr:spPr>
        <a:xfrm xmlns:a="http://schemas.openxmlformats.org/drawingml/2006/main">
          <a:off x="3114676" y="285750"/>
          <a:ext cx="2867024" cy="1809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Comparing skill frequency across 0–1 year vs 2+ year roles</a:t>
          </a:r>
          <a:endParaRPr lang="en-US" sz="900" kern="12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0</xdr:rowOff>
    </xdr:from>
    <xdr:to>
      <xdr:col>15</xdr:col>
      <xdr:colOff>9525</xdr:colOff>
      <xdr:row>28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5B7372-4230-4E84-A922-6F29BB8E51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0.40312</cdr:x>
      <cdr:y>0.05556</cdr:y>
    </cdr:from>
    <cdr:to>
      <cdr:x>0.65625</cdr:x>
      <cdr:y>0.10417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4D13B8F-957B-D886-8341-1F36B6EB2CD5}"/>
            </a:ext>
          </a:extLst>
        </cdr:cNvPr>
        <cdr:cNvSpPr txBox="1"/>
      </cdr:nvSpPr>
      <cdr:spPr>
        <a:xfrm xmlns:a="http://schemas.openxmlformats.org/drawingml/2006/main">
          <a:off x="3686174" y="304800"/>
          <a:ext cx="2314576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Based</a:t>
          </a:r>
          <a:r>
            <a:rPr lang="en-US" sz="1100" kern="1200" baseline="0"/>
            <a:t> on job posting counts by industry</a:t>
          </a:r>
          <a:endParaRPr lang="en-US" sz="1100" kern="1200"/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15</xdr:col>
      <xdr:colOff>0</xdr:colOff>
      <xdr:row>28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7A54CD-25F4-4776-8D20-A36E371788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0.37396</cdr:x>
      <cdr:y>0.05729</cdr:y>
    </cdr:from>
    <cdr:to>
      <cdr:x>0.66875</cdr:x>
      <cdr:y>0.09722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B2007A2-1B34-520D-53E1-CE81B2B59D59}"/>
            </a:ext>
          </a:extLst>
        </cdr:cNvPr>
        <cdr:cNvSpPr txBox="1"/>
      </cdr:nvSpPr>
      <cdr:spPr>
        <a:xfrm xmlns:a="http://schemas.openxmlformats.org/drawingml/2006/main">
          <a:off x="3419475" y="314325"/>
          <a:ext cx="2695574" cy="2190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Based on average midpoint salary across industries</a:t>
          </a:r>
          <a:endParaRPr lang="en-US" sz="900" kern="12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cdr:txBody>
    </cdr: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0</xdr:colOff>
      <xdr:row>28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334047-84FA-40D2-8397-4604AB3A5C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0.35625</cdr:x>
      <cdr:y>0.05556</cdr:y>
    </cdr:from>
    <cdr:to>
      <cdr:x>0.66875</cdr:x>
      <cdr:y>0.10243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ADAFEDB-A41A-DC5B-014A-38D8727ADBEE}"/>
            </a:ext>
          </a:extLst>
        </cdr:cNvPr>
        <cdr:cNvSpPr txBox="1"/>
      </cdr:nvSpPr>
      <cdr:spPr>
        <a:xfrm xmlns:a="http://schemas.openxmlformats.org/drawingml/2006/main">
          <a:off x="3257550" y="304800"/>
          <a:ext cx="2857500" cy="2571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Comparing salary levels across SQL‑based tool stacks</a:t>
          </a:r>
          <a:endParaRPr lang="en-US" sz="900" kern="12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cdr:txBody>
    </cdr:sp>
  </cdr:relSizeAnchor>
</c:userShapes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952501</xdr:colOff>
      <xdr:row>0</xdr:row>
      <xdr:rowOff>68792</xdr:rowOff>
    </xdr:from>
    <xdr:to>
      <xdr:col>4</xdr:col>
      <xdr:colOff>370417</xdr:colOff>
      <xdr:row>1</xdr:row>
      <xdr:rowOff>179916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336BE9E-3D6D-7EAA-5375-3E4465407E7A}"/>
            </a:ext>
          </a:extLst>
        </xdr:cNvPr>
        <xdr:cNvSpPr txBox="1"/>
      </xdr:nvSpPr>
      <xdr:spPr>
        <a:xfrm>
          <a:off x="2413001" y="68792"/>
          <a:ext cx="2465916" cy="2910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Industry × Skill Demand Matrix</a:t>
          </a:r>
        </a:p>
      </xdr:txBody>
    </xdr:sp>
    <xdr:clientData/>
  </xdr:twoCellAnchor>
  <xdr:oneCellAnchor>
    <xdr:from>
      <xdr:col>0</xdr:col>
      <xdr:colOff>1328209</xdr:colOff>
      <xdr:row>1</xdr:row>
      <xdr:rowOff>153459</xdr:rowOff>
    </xdr:from>
    <xdr:ext cx="3311492" cy="20637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774C77D-3DA6-4221-FCDB-F234F79FC844}"/>
            </a:ext>
          </a:extLst>
        </xdr:cNvPr>
        <xdr:cNvSpPr txBox="1"/>
      </xdr:nvSpPr>
      <xdr:spPr>
        <a:xfrm>
          <a:off x="1328209" y="333376"/>
          <a:ext cx="3311492" cy="2063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/>
            <a:t>Percentage of job postings requiring each skill by industry</a:t>
          </a:r>
        </a:p>
      </xdr:txBody>
    </xdr:sp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266700</xdr:colOff>
      <xdr:row>10</xdr:row>
      <xdr:rowOff>52388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6A368FC-72AA-5DFA-6C71-1ECC25D85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096000" cy="1862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phanie Mitchell" refreshedDate="46146.667717708333" createdVersion="8" refreshedVersion="8" minRefreshableVersion="3" recordCount="29" xr:uid="{62DCFE73-1456-4B98-A1CE-86C7E3304FFD}">
  <cacheSource type="worksheet">
    <worksheetSource ref="A1:C30" sheet="Q11_IndustrySkillMatrix"/>
  </cacheSource>
  <cacheFields count="3">
    <cacheField name="industry" numFmtId="0">
      <sharedItems count="5">
        <s v="Business Operations"/>
        <s v="FinTech"/>
        <s v="Healthcare Systems"/>
        <s v="HR Benefits &amp; Insurance"/>
        <s v="IT Services &amp; Consulation"/>
      </sharedItems>
    </cacheField>
    <cacheField name="skill" numFmtId="0">
      <sharedItems count="9">
        <s v="Excel"/>
        <s v="Microsoft Office"/>
        <s v="R"/>
        <s v="SQL"/>
        <s v="Tableau"/>
        <s v="Python"/>
        <s v="Data Modeling"/>
        <s v="Power BI"/>
        <s v="SQL "/>
      </sharedItems>
    </cacheField>
    <cacheField name="pct_of_jobs" numFmtId="0">
      <sharedItems containsSemiMixedTypes="0" containsString="0" containsNumber="1" minValue="0.1400000000000000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x v="0"/>
    <n v="1"/>
  </r>
  <r>
    <x v="0"/>
    <x v="1"/>
    <n v="0.67"/>
  </r>
  <r>
    <x v="0"/>
    <x v="2"/>
    <n v="0.33"/>
  </r>
  <r>
    <x v="0"/>
    <x v="3"/>
    <n v="0.33"/>
  </r>
  <r>
    <x v="0"/>
    <x v="4"/>
    <n v="0.33"/>
  </r>
  <r>
    <x v="1"/>
    <x v="0"/>
    <n v="0.33"/>
  </r>
  <r>
    <x v="1"/>
    <x v="1"/>
    <n v="0.33"/>
  </r>
  <r>
    <x v="1"/>
    <x v="5"/>
    <n v="0.67"/>
  </r>
  <r>
    <x v="1"/>
    <x v="3"/>
    <n v="1"/>
  </r>
  <r>
    <x v="2"/>
    <x v="6"/>
    <n v="0.14000000000000001"/>
  </r>
  <r>
    <x v="2"/>
    <x v="0"/>
    <n v="0.64"/>
  </r>
  <r>
    <x v="2"/>
    <x v="1"/>
    <n v="0.14000000000000001"/>
  </r>
  <r>
    <x v="2"/>
    <x v="7"/>
    <n v="0.28999999999999998"/>
  </r>
  <r>
    <x v="2"/>
    <x v="5"/>
    <n v="0.43"/>
  </r>
  <r>
    <x v="2"/>
    <x v="2"/>
    <n v="0.36"/>
  </r>
  <r>
    <x v="2"/>
    <x v="3"/>
    <n v="0.93"/>
  </r>
  <r>
    <x v="2"/>
    <x v="4"/>
    <n v="0.36"/>
  </r>
  <r>
    <x v="3"/>
    <x v="6"/>
    <n v="0.33"/>
  </r>
  <r>
    <x v="3"/>
    <x v="0"/>
    <n v="0.67"/>
  </r>
  <r>
    <x v="3"/>
    <x v="7"/>
    <n v="0.33"/>
  </r>
  <r>
    <x v="3"/>
    <x v="5"/>
    <n v="0.33"/>
  </r>
  <r>
    <x v="3"/>
    <x v="2"/>
    <n v="0.33"/>
  </r>
  <r>
    <x v="3"/>
    <x v="8"/>
    <n v="1"/>
  </r>
  <r>
    <x v="4"/>
    <x v="0"/>
    <n v="0.75"/>
  </r>
  <r>
    <x v="4"/>
    <x v="7"/>
    <n v="0.25"/>
  </r>
  <r>
    <x v="4"/>
    <x v="5"/>
    <n v="0.5"/>
  </r>
  <r>
    <x v="4"/>
    <x v="2"/>
    <n v="0.25"/>
  </r>
  <r>
    <x v="4"/>
    <x v="3"/>
    <n v="0.5"/>
  </r>
  <r>
    <x v="4"/>
    <x v="4"/>
    <n v="0.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CBBFF2-591A-405D-9BE3-8CF9272DA22F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showHeaders="0" compact="0" compactData="0" multipleFieldFilters="0">
  <location ref="A4:J10" firstHeaderRow="1" firstDataRow="2" firstDataCol="1"/>
  <pivotFields count="3">
    <pivotField axis="axisRow" compact="0" outline="0" showAll="0" defaultSubtotal="0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9">
        <item x="6"/>
        <item x="0"/>
        <item x="1"/>
        <item x="7"/>
        <item x="5"/>
        <item x="2"/>
        <item x="3"/>
        <item x="8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colItems>
  <dataFields count="1">
    <dataField name="Sum of pct_of_jobs" fld="2" baseField="0" baseItem="0" numFmtId="9"/>
  </dataFields>
  <formats count="16">
    <format dxfId="15">
      <pivotArea outline="0" collapsedLevelsAreSubtotals="1" fieldPosition="0"/>
    </format>
    <format dxfId="14">
      <pivotArea type="origin" dataOnly="0" labelOnly="1" outline="0" fieldPosition="0"/>
    </format>
    <format dxfId="13">
      <pivotArea field="1" type="button" dataOnly="0" labelOnly="1" outline="0" axis="axisCol" fieldPosition="0"/>
    </format>
    <format dxfId="12">
      <pivotArea type="topRight" dataOnly="0" labelOnly="1" outline="0" fieldPosition="0"/>
    </format>
    <format dxfId="11">
      <pivotArea field="0" type="button" dataOnly="0" labelOnly="1" outline="0" axis="axisRow" fieldPosition="0"/>
    </format>
    <format dxfId="10">
      <pivotArea dataOnly="0" labelOnly="1" outline="0" fieldPosition="0">
        <references count="1">
          <reference field="1" count="0"/>
        </references>
      </pivotArea>
    </format>
    <format dxfId="9">
      <pivotArea type="origin" dataOnly="0" labelOnly="1" outline="0" fieldPosition="0"/>
    </format>
    <format dxfId="8">
      <pivotArea field="1" type="button" dataOnly="0" labelOnly="1" outline="0" axis="axisCol" fieldPosition="0"/>
    </format>
    <format dxfId="7">
      <pivotArea type="topRight" dataOnly="0" labelOnly="1" outline="0" fieldPosition="0"/>
    </format>
    <format dxfId="6">
      <pivotArea field="0" type="button" dataOnly="0" labelOnly="1" outline="0" axis="axisRow" fieldPosition="0"/>
    </format>
    <format dxfId="5">
      <pivotArea dataOnly="0" labelOnly="1" outline="0" fieldPosition="0">
        <references count="1">
          <reference field="1" count="0"/>
        </references>
      </pivotArea>
    </format>
    <format dxfId="4">
      <pivotArea type="origin" dataOnly="0" labelOnly="1" outline="0" fieldPosition="0"/>
    </format>
    <format dxfId="3">
      <pivotArea field="1" type="button" dataOnly="0" labelOnly="1" outline="0" axis="axisCol" fieldPosition="0"/>
    </format>
    <format dxfId="2">
      <pivotArea type="topRight" dataOnly="0" labelOnly="1" outline="0" fieldPosition="0"/>
    </format>
    <format dxfId="1">
      <pivotArea field="0" type="button" dataOnly="0" labelOnly="1" outline="0" axis="axisRow" fieldPosition="0"/>
    </format>
    <format dxfId="0">
      <pivotArea dataOnly="0" labelOnly="1" outline="0" fieldPosition="0">
        <references count="1">
          <reference field="1" count="0"/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00C832-BEDF-4DAF-B05C-F2F7F0D63270}" name="Table1" displayName="Table1" ref="A1:D15" totalsRowShown="0" headerRowDxfId="18">
  <autoFilter ref="A1:D15" xr:uid="{3B00C832-BEDF-4DAF-B05C-F2F7F0D63270}">
    <filterColumn colId="0" hiddenButton="1"/>
    <filterColumn colId="1" hiddenButton="1"/>
    <filterColumn colId="2" hiddenButton="1"/>
    <filterColumn colId="3" hiddenButton="1"/>
  </autoFilter>
  <tableColumns count="4">
    <tableColumn id="1" xr3:uid="{026A2546-0677-4576-9C41-CCCD931A6E74}" name="skill1"/>
    <tableColumn id="2" xr3:uid="{76CDAB12-6286-4F8A-BBC9-211C8B87CEED}" name="skill2"/>
    <tableColumn id="3" xr3:uid="{553C49AD-D931-4E18-AEF3-E061382F017F}" name="skill_pairs"/>
    <tableColumn id="4" xr3:uid="{1C79B420-6C5D-48CF-99F4-81F55FD28E7E}" name="pct_of_jobs" dataDxfId="17"/>
  </tableColumns>
  <tableStyleInfo name="TableStyleLight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2DC5129-BEDE-4390-ACB4-242915F60F6C}" name="Table9" displayName="Table9" ref="N1:O7" totalsRowShown="0" headerRowDxfId="16">
  <autoFilter ref="N1:O7" xr:uid="{62DC5129-BEDE-4390-ACB4-242915F60F6C}"/>
  <sortState xmlns:xlrd2="http://schemas.microsoft.com/office/spreadsheetml/2017/richdata2" ref="N2:O7">
    <sortCondition descending="1" ref="O1:O7"/>
  </sortState>
  <tableColumns count="2">
    <tableColumn id="1" xr3:uid="{48D2ED94-FA40-4DC6-9614-837DB4C4FABA}" name="industry"/>
    <tableColumn id="2" xr3:uid="{4CC2B0DF-1F53-4D86-8288-385069A0B5DC}" name="avg_salar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7CF9E-C97B-446E-97C0-1E706BE497E0}">
  <dimension ref="A1:C11"/>
  <sheetViews>
    <sheetView workbookViewId="0">
      <selection activeCell="G19" sqref="G19"/>
    </sheetView>
  </sheetViews>
  <sheetFormatPr defaultRowHeight="15" x14ac:dyDescent="0.25"/>
  <cols>
    <col min="1" max="1" width="15" bestFit="1" customWidth="1"/>
    <col min="2" max="2" width="10.140625" bestFit="1" customWidth="1"/>
    <col min="3" max="3" width="12" bestFit="1" customWidth="1"/>
  </cols>
  <sheetData>
    <row r="1" spans="1:3" s="1" customFormat="1" x14ac:dyDescent="0.25">
      <c r="A1" s="1" t="s">
        <v>10</v>
      </c>
      <c r="B1" s="1" t="s">
        <v>11</v>
      </c>
      <c r="C1" s="1" t="s">
        <v>12</v>
      </c>
    </row>
    <row r="2" spans="1:3" x14ac:dyDescent="0.25">
      <c r="A2" t="s">
        <v>0</v>
      </c>
      <c r="B2">
        <v>74</v>
      </c>
      <c r="C2">
        <v>15.040650406504</v>
      </c>
    </row>
    <row r="3" spans="1:3" x14ac:dyDescent="0.25">
      <c r="A3" t="s">
        <v>1</v>
      </c>
      <c r="B3">
        <v>55</v>
      </c>
      <c r="C3">
        <v>11.178861788617001</v>
      </c>
    </row>
    <row r="4" spans="1:3" x14ac:dyDescent="0.25">
      <c r="A4" t="s">
        <v>2</v>
      </c>
      <c r="B4">
        <v>46</v>
      </c>
      <c r="C4">
        <v>9.3495934959340001</v>
      </c>
    </row>
    <row r="5" spans="1:3" x14ac:dyDescent="0.25">
      <c r="A5" t="s">
        <v>3</v>
      </c>
      <c r="B5">
        <v>41</v>
      </c>
      <c r="C5">
        <v>8.333333333333</v>
      </c>
    </row>
    <row r="6" spans="1:3" x14ac:dyDescent="0.25">
      <c r="A6" t="s">
        <v>4</v>
      </c>
      <c r="B6">
        <v>35</v>
      </c>
      <c r="C6">
        <v>7.1138211382109997</v>
      </c>
    </row>
    <row r="7" spans="1:3" x14ac:dyDescent="0.25">
      <c r="A7" t="s">
        <v>5</v>
      </c>
      <c r="B7">
        <v>22</v>
      </c>
      <c r="C7">
        <v>4.4715447154470001</v>
      </c>
    </row>
    <row r="8" spans="1:3" x14ac:dyDescent="0.25">
      <c r="A8" t="s">
        <v>6</v>
      </c>
      <c r="B8">
        <v>20</v>
      </c>
      <c r="C8">
        <v>4.0650406504059999</v>
      </c>
    </row>
    <row r="9" spans="1:3" x14ac:dyDescent="0.25">
      <c r="A9" t="s">
        <v>7</v>
      </c>
      <c r="B9">
        <v>12</v>
      </c>
      <c r="C9">
        <v>2.439024390243</v>
      </c>
    </row>
    <row r="10" spans="1:3" x14ac:dyDescent="0.25">
      <c r="A10" t="s">
        <v>8</v>
      </c>
      <c r="B10">
        <v>9</v>
      </c>
      <c r="C10">
        <v>1.8292682926820001</v>
      </c>
    </row>
    <row r="11" spans="1:3" x14ac:dyDescent="0.25">
      <c r="A11" t="s">
        <v>9</v>
      </c>
      <c r="B11">
        <v>8</v>
      </c>
      <c r="C11">
        <v>1.6260162601620001</v>
      </c>
    </row>
  </sheetData>
  <sortState xmlns:xlrd2="http://schemas.microsoft.com/office/spreadsheetml/2017/richdata2" ref="A2:C11">
    <sortCondition descending="1" ref="B2:B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BDD5A-5206-4EF0-92B0-0AC346BBF0F3}">
  <dimension ref="A1"/>
  <sheetViews>
    <sheetView zoomScaleNormal="100" workbookViewId="0">
      <selection activeCell="W7" sqref="W7"/>
    </sheetView>
  </sheetViews>
  <sheetFormatPr defaultRowHeight="15" x14ac:dyDescent="0.25"/>
  <cols>
    <col min="18" max="18" width="9.140625" customWidth="1"/>
  </cols>
  <sheetData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B442A-7E65-444A-AEA3-EB82C98D6F2D}">
  <dimension ref="A1:N14"/>
  <sheetViews>
    <sheetView workbookViewId="0">
      <selection activeCell="I1" sqref="I1:J6"/>
    </sheetView>
  </sheetViews>
  <sheetFormatPr defaultRowHeight="15" x14ac:dyDescent="0.25"/>
  <cols>
    <col min="1" max="1" width="19" bestFit="1" customWidth="1"/>
    <col min="2" max="2" width="16.5703125" bestFit="1" customWidth="1"/>
    <col min="3" max="3" width="9.7109375" bestFit="1" customWidth="1"/>
    <col min="4" max="4" width="14.7109375" bestFit="1" customWidth="1"/>
    <col min="5" max="5" width="15" bestFit="1" customWidth="1"/>
    <col min="6" max="6" width="14.7109375" bestFit="1" customWidth="1"/>
    <col min="9" max="9" width="17.42578125" bestFit="1" customWidth="1"/>
    <col min="10" max="10" width="14.5703125" bestFit="1" customWidth="1"/>
    <col min="12" max="12" width="16.5703125" bestFit="1" customWidth="1"/>
    <col min="13" max="13" width="14.7109375" bestFit="1" customWidth="1"/>
  </cols>
  <sheetData>
    <row r="1" spans="1:14" s="1" customFormat="1" x14ac:dyDescent="0.25">
      <c r="A1" s="1" t="s">
        <v>13</v>
      </c>
      <c r="B1" t="s">
        <v>70</v>
      </c>
      <c r="C1" s="1" t="s">
        <v>14</v>
      </c>
      <c r="D1" s="1" t="s">
        <v>15</v>
      </c>
      <c r="E1" s="1" t="s">
        <v>16</v>
      </c>
      <c r="F1" s="1" t="s">
        <v>17</v>
      </c>
      <c r="I1" s="1" t="s">
        <v>70</v>
      </c>
      <c r="J1" s="1" t="s">
        <v>17</v>
      </c>
      <c r="L1"/>
      <c r="M1" s="2"/>
      <c r="N1" s="2"/>
    </row>
    <row r="2" spans="1:14" x14ac:dyDescent="0.25">
      <c r="A2" t="s">
        <v>18</v>
      </c>
      <c r="B2" t="s">
        <v>18</v>
      </c>
      <c r="C2">
        <v>1</v>
      </c>
      <c r="D2">
        <v>146900</v>
      </c>
      <c r="E2">
        <v>220300</v>
      </c>
      <c r="F2">
        <v>183600</v>
      </c>
      <c r="I2" t="s">
        <v>29</v>
      </c>
      <c r="J2">
        <f>AVERAGEIF($B:$B, "0-1 years", $F:$F)</f>
        <v>68583.333333333328</v>
      </c>
    </row>
    <row r="3" spans="1:14" x14ac:dyDescent="0.25">
      <c r="A3" t="s">
        <v>19</v>
      </c>
      <c r="B3" t="s">
        <v>71</v>
      </c>
      <c r="C3">
        <v>3</v>
      </c>
      <c r="D3">
        <v>65099</v>
      </c>
      <c r="E3">
        <v>113848</v>
      </c>
      <c r="F3">
        <v>89473</v>
      </c>
      <c r="I3" t="s">
        <v>22</v>
      </c>
      <c r="J3">
        <f>AVERAGEIF($B:$B, "1-2 years", $F:$F)</f>
        <v>69965</v>
      </c>
    </row>
    <row r="4" spans="1:14" x14ac:dyDescent="0.25">
      <c r="A4" t="s">
        <v>20</v>
      </c>
      <c r="B4" t="s">
        <v>22</v>
      </c>
      <c r="C4">
        <v>3</v>
      </c>
      <c r="D4">
        <v>61033</v>
      </c>
      <c r="E4">
        <v>95100</v>
      </c>
      <c r="F4">
        <v>78066</v>
      </c>
      <c r="I4" t="s">
        <v>71</v>
      </c>
      <c r="J4">
        <f>AVERAGEIF($B:$B, "2-3 years", $F:$F)</f>
        <v>80742</v>
      </c>
    </row>
    <row r="5" spans="1:14" x14ac:dyDescent="0.25">
      <c r="A5" t="s">
        <v>21</v>
      </c>
      <c r="B5" t="s">
        <v>22</v>
      </c>
      <c r="C5">
        <v>7</v>
      </c>
      <c r="D5">
        <v>56380</v>
      </c>
      <c r="E5">
        <v>89173</v>
      </c>
      <c r="F5">
        <v>72777</v>
      </c>
      <c r="I5" t="s">
        <v>18</v>
      </c>
      <c r="J5">
        <f>AVERAGEIF($B:$B, "3+ years", $F:$F)</f>
        <v>125425</v>
      </c>
    </row>
    <row r="6" spans="1:14" x14ac:dyDescent="0.25">
      <c r="A6" t="s">
        <v>22</v>
      </c>
      <c r="B6" t="s">
        <v>22</v>
      </c>
      <c r="C6">
        <v>8</v>
      </c>
      <c r="D6">
        <v>63031</v>
      </c>
      <c r="E6">
        <v>82101</v>
      </c>
      <c r="F6">
        <v>72566</v>
      </c>
      <c r="I6" t="s">
        <v>72</v>
      </c>
      <c r="J6">
        <f>AVERAGEIF($B:$B, "Unspecified", $F:$F)</f>
        <v>67711</v>
      </c>
    </row>
    <row r="7" spans="1:14" x14ac:dyDescent="0.25">
      <c r="A7" t="s">
        <v>23</v>
      </c>
      <c r="B7" t="s">
        <v>71</v>
      </c>
      <c r="C7">
        <v>8</v>
      </c>
      <c r="D7">
        <v>59182</v>
      </c>
      <c r="E7">
        <v>84840</v>
      </c>
      <c r="F7">
        <v>72011</v>
      </c>
    </row>
    <row r="8" spans="1:14" x14ac:dyDescent="0.25">
      <c r="A8" t="s">
        <v>24</v>
      </c>
      <c r="B8" t="s">
        <v>29</v>
      </c>
      <c r="C8">
        <v>4</v>
      </c>
      <c r="D8">
        <v>66135</v>
      </c>
      <c r="E8">
        <v>77860</v>
      </c>
      <c r="F8">
        <v>71997</v>
      </c>
    </row>
    <row r="9" spans="1:14" x14ac:dyDescent="0.25">
      <c r="A9" t="s">
        <v>25</v>
      </c>
      <c r="B9" t="s">
        <v>22</v>
      </c>
      <c r="C9">
        <v>2</v>
      </c>
      <c r="D9">
        <v>62500</v>
      </c>
      <c r="E9">
        <v>80000</v>
      </c>
      <c r="F9">
        <v>71250</v>
      </c>
    </row>
    <row r="10" spans="1:14" x14ac:dyDescent="0.25">
      <c r="A10" t="s">
        <v>26</v>
      </c>
      <c r="B10" t="s">
        <v>29</v>
      </c>
      <c r="C10">
        <v>13</v>
      </c>
      <c r="D10">
        <v>62751</v>
      </c>
      <c r="E10">
        <v>76505</v>
      </c>
      <c r="F10">
        <v>69628</v>
      </c>
    </row>
    <row r="11" spans="1:14" x14ac:dyDescent="0.25">
      <c r="A11" t="s">
        <v>27</v>
      </c>
      <c r="B11" t="s">
        <v>72</v>
      </c>
      <c r="C11">
        <v>9</v>
      </c>
      <c r="D11">
        <v>58787</v>
      </c>
      <c r="E11">
        <v>76635</v>
      </c>
      <c r="F11">
        <v>67711</v>
      </c>
    </row>
    <row r="12" spans="1:14" x14ac:dyDescent="0.25">
      <c r="A12" t="s">
        <v>28</v>
      </c>
      <c r="B12" t="s">
        <v>18</v>
      </c>
      <c r="C12">
        <v>1</v>
      </c>
      <c r="D12">
        <v>59500</v>
      </c>
      <c r="E12">
        <v>75000</v>
      </c>
      <c r="F12">
        <v>67250</v>
      </c>
    </row>
    <row r="13" spans="1:14" x14ac:dyDescent="0.25">
      <c r="A13" t="s">
        <v>29</v>
      </c>
      <c r="B13" t="s">
        <v>29</v>
      </c>
      <c r="C13">
        <v>4</v>
      </c>
      <c r="D13">
        <v>59500</v>
      </c>
      <c r="E13">
        <v>68750</v>
      </c>
      <c r="F13">
        <v>64125</v>
      </c>
    </row>
    <row r="14" spans="1:14" x14ac:dyDescent="0.25">
      <c r="A14" t="s">
        <v>30</v>
      </c>
      <c r="B14" t="s">
        <v>22</v>
      </c>
      <c r="C14">
        <v>2</v>
      </c>
      <c r="D14">
        <v>41704</v>
      </c>
      <c r="E14">
        <v>68629</v>
      </c>
      <c r="F14">
        <v>55166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3F7B3-3C61-4A24-A9D0-A182A1DB1D78}">
  <dimension ref="A1"/>
  <sheetViews>
    <sheetView tabSelected="1" workbookViewId="0">
      <selection activeCell="T8" sqref="T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6CCF5-8F1C-4792-AFCE-4515C70CE2B9}">
  <dimension ref="A1:J10"/>
  <sheetViews>
    <sheetView workbookViewId="0">
      <selection activeCell="I1" sqref="I1:J10"/>
    </sheetView>
  </sheetViews>
  <sheetFormatPr defaultRowHeight="15" x14ac:dyDescent="0.25"/>
  <cols>
    <col min="1" max="1" width="15.85546875" bestFit="1" customWidth="1"/>
    <col min="2" max="2" width="28" bestFit="1" customWidth="1"/>
    <col min="3" max="3" width="22.5703125" bestFit="1" customWidth="1"/>
    <col min="9" max="9" width="15.85546875" bestFit="1" customWidth="1"/>
    <col min="10" max="10" width="22.5703125" bestFit="1" customWidth="1"/>
  </cols>
  <sheetData>
    <row r="1" spans="1:10" s="1" customFormat="1" x14ac:dyDescent="0.25">
      <c r="A1" s="1" t="s">
        <v>31</v>
      </c>
      <c r="B1" s="1" t="s">
        <v>32</v>
      </c>
      <c r="C1" s="1" t="s">
        <v>33</v>
      </c>
      <c r="I1" s="1" t="s">
        <v>31</v>
      </c>
      <c r="J1" s="1" t="s">
        <v>33</v>
      </c>
    </row>
    <row r="2" spans="1:10" x14ac:dyDescent="0.25">
      <c r="A2" t="s">
        <v>34</v>
      </c>
      <c r="B2">
        <v>3</v>
      </c>
      <c r="C2">
        <v>92133</v>
      </c>
      <c r="I2" t="s">
        <v>34</v>
      </c>
      <c r="J2">
        <v>92133</v>
      </c>
    </row>
    <row r="3" spans="1:10" x14ac:dyDescent="0.25">
      <c r="A3" t="s">
        <v>35</v>
      </c>
      <c r="B3">
        <v>2</v>
      </c>
      <c r="C3">
        <v>77500</v>
      </c>
      <c r="I3" t="s">
        <v>35</v>
      </c>
      <c r="J3">
        <v>77500</v>
      </c>
    </row>
    <row r="4" spans="1:10" x14ac:dyDescent="0.25">
      <c r="A4" t="s">
        <v>36</v>
      </c>
      <c r="B4">
        <v>2</v>
      </c>
      <c r="C4">
        <v>75986</v>
      </c>
      <c r="I4" t="s">
        <v>36</v>
      </c>
      <c r="J4">
        <v>75986</v>
      </c>
    </row>
    <row r="5" spans="1:10" x14ac:dyDescent="0.25">
      <c r="A5" t="s">
        <v>37</v>
      </c>
      <c r="B5">
        <v>2</v>
      </c>
      <c r="C5">
        <v>73750</v>
      </c>
      <c r="I5" t="s">
        <v>37</v>
      </c>
      <c r="J5">
        <v>73750</v>
      </c>
    </row>
    <row r="6" spans="1:10" x14ac:dyDescent="0.25">
      <c r="A6" t="s">
        <v>38</v>
      </c>
      <c r="B6">
        <v>2</v>
      </c>
      <c r="C6">
        <v>70858</v>
      </c>
      <c r="I6" t="s">
        <v>38</v>
      </c>
      <c r="J6">
        <v>70858</v>
      </c>
    </row>
    <row r="7" spans="1:10" x14ac:dyDescent="0.25">
      <c r="A7" t="s">
        <v>39</v>
      </c>
      <c r="B7">
        <v>2</v>
      </c>
      <c r="C7">
        <v>68071</v>
      </c>
      <c r="I7" t="s">
        <v>39</v>
      </c>
      <c r="J7">
        <v>68071</v>
      </c>
    </row>
    <row r="8" spans="1:10" x14ac:dyDescent="0.25">
      <c r="A8" t="s">
        <v>40</v>
      </c>
      <c r="B8">
        <v>2</v>
      </c>
      <c r="C8">
        <v>67750</v>
      </c>
      <c r="I8" t="s">
        <v>40</v>
      </c>
      <c r="J8">
        <v>67750</v>
      </c>
    </row>
    <row r="9" spans="1:10" x14ac:dyDescent="0.25">
      <c r="A9" t="s">
        <v>41</v>
      </c>
      <c r="B9">
        <v>5</v>
      </c>
      <c r="C9">
        <v>64933</v>
      </c>
      <c r="I9" t="s">
        <v>41</v>
      </c>
      <c r="J9">
        <v>64933</v>
      </c>
    </row>
    <row r="10" spans="1:10" x14ac:dyDescent="0.25">
      <c r="A10" t="s">
        <v>42</v>
      </c>
      <c r="B10">
        <v>2</v>
      </c>
      <c r="C10">
        <v>62760</v>
      </c>
      <c r="I10" t="s">
        <v>42</v>
      </c>
      <c r="J10">
        <v>62760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88A59-3D18-4B23-9A25-4713BF6CD0B6}">
  <dimension ref="A1"/>
  <sheetViews>
    <sheetView workbookViewId="0">
      <selection activeCell="U29" sqref="U2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DF339-9C1E-460F-BEC0-369B043042EE}">
  <dimension ref="A1:H8"/>
  <sheetViews>
    <sheetView workbookViewId="0">
      <selection activeCell="G1" sqref="G1:H8"/>
    </sheetView>
  </sheetViews>
  <sheetFormatPr defaultRowHeight="15" x14ac:dyDescent="0.25"/>
  <cols>
    <col min="1" max="1" width="15" bestFit="1" customWidth="1"/>
    <col min="2" max="2" width="10.7109375" bestFit="1" customWidth="1"/>
    <col min="3" max="3" width="10.140625" bestFit="1" customWidth="1"/>
    <col min="7" max="7" width="15" bestFit="1" customWidth="1"/>
    <col min="8" max="8" width="10.140625" bestFit="1" customWidth="1"/>
  </cols>
  <sheetData>
    <row r="1" spans="1:8" s="1" customFormat="1" x14ac:dyDescent="0.25">
      <c r="A1" s="1" t="s">
        <v>10</v>
      </c>
      <c r="B1" s="1" t="s">
        <v>43</v>
      </c>
      <c r="C1" s="1" t="s">
        <v>44</v>
      </c>
      <c r="G1" s="1" t="s">
        <v>10</v>
      </c>
      <c r="H1" s="1" t="s">
        <v>44</v>
      </c>
    </row>
    <row r="2" spans="1:8" x14ac:dyDescent="0.25">
      <c r="A2" t="s">
        <v>4</v>
      </c>
      <c r="B2">
        <v>21</v>
      </c>
      <c r="C2">
        <v>80725</v>
      </c>
      <c r="G2" t="s">
        <v>4</v>
      </c>
      <c r="H2">
        <v>80725</v>
      </c>
    </row>
    <row r="3" spans="1:8" x14ac:dyDescent="0.25">
      <c r="A3" t="s">
        <v>0</v>
      </c>
      <c r="B3">
        <v>43</v>
      </c>
      <c r="C3">
        <v>75773</v>
      </c>
      <c r="G3" t="s">
        <v>0</v>
      </c>
      <c r="H3">
        <v>75773</v>
      </c>
    </row>
    <row r="4" spans="1:8" x14ac:dyDescent="0.25">
      <c r="A4" t="s">
        <v>5</v>
      </c>
      <c r="B4">
        <v>13</v>
      </c>
      <c r="C4">
        <v>72094</v>
      </c>
      <c r="G4" t="s">
        <v>5</v>
      </c>
      <c r="H4">
        <v>72094</v>
      </c>
    </row>
    <row r="5" spans="1:8" x14ac:dyDescent="0.25">
      <c r="A5" t="s">
        <v>3</v>
      </c>
      <c r="B5">
        <v>30</v>
      </c>
      <c r="C5">
        <v>71599</v>
      </c>
      <c r="G5" t="s">
        <v>3</v>
      </c>
      <c r="H5">
        <v>71599</v>
      </c>
    </row>
    <row r="6" spans="1:8" x14ac:dyDescent="0.25">
      <c r="A6" t="s">
        <v>2</v>
      </c>
      <c r="B6">
        <v>28</v>
      </c>
      <c r="C6">
        <v>70941</v>
      </c>
      <c r="G6" t="s">
        <v>2</v>
      </c>
      <c r="H6">
        <v>70941</v>
      </c>
    </row>
    <row r="7" spans="1:8" x14ac:dyDescent="0.25">
      <c r="A7" t="s">
        <v>1</v>
      </c>
      <c r="B7">
        <v>40</v>
      </c>
      <c r="C7">
        <v>69021</v>
      </c>
      <c r="G7" t="s">
        <v>1</v>
      </c>
      <c r="H7">
        <v>69021</v>
      </c>
    </row>
    <row r="8" spans="1:8" x14ac:dyDescent="0.25">
      <c r="A8" t="s">
        <v>6</v>
      </c>
      <c r="B8">
        <v>12</v>
      </c>
      <c r="C8">
        <v>68711</v>
      </c>
      <c r="G8" t="s">
        <v>6</v>
      </c>
      <c r="H8">
        <v>68711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ACC73-E982-4E47-A025-6448EF263F72}">
  <dimension ref="A1"/>
  <sheetViews>
    <sheetView workbookViewId="0">
      <selection activeCell="U5" sqref="U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E8DCE-DEA9-46E3-9D91-F3F76CC863BA}">
  <dimension ref="A1:D15"/>
  <sheetViews>
    <sheetView workbookViewId="0">
      <selection sqref="A1:D15"/>
    </sheetView>
  </sheetViews>
  <sheetFormatPr defaultRowHeight="15" x14ac:dyDescent="0.25"/>
  <cols>
    <col min="1" max="1" width="8.5703125" bestFit="1" customWidth="1"/>
    <col min="2" max="2" width="15" bestFit="1" customWidth="1"/>
    <col min="3" max="3" width="10" bestFit="1" customWidth="1"/>
    <col min="4" max="4" width="11.28515625" bestFit="1" customWidth="1"/>
  </cols>
  <sheetData>
    <row r="1" spans="1:4" s="1" customFormat="1" x14ac:dyDescent="0.25">
      <c r="A1" s="1" t="s">
        <v>45</v>
      </c>
      <c r="B1" s="1" t="s">
        <v>46</v>
      </c>
      <c r="C1" s="1" t="s">
        <v>47</v>
      </c>
      <c r="D1" s="1" t="s">
        <v>48</v>
      </c>
    </row>
    <row r="2" spans="1:4" x14ac:dyDescent="0.25">
      <c r="A2" t="s">
        <v>2</v>
      </c>
      <c r="B2" t="s">
        <v>0</v>
      </c>
      <c r="C2">
        <v>36</v>
      </c>
      <c r="D2">
        <v>0.36</v>
      </c>
    </row>
    <row r="3" spans="1:4" x14ac:dyDescent="0.25">
      <c r="A3" t="s">
        <v>1</v>
      </c>
      <c r="B3" t="s">
        <v>0</v>
      </c>
      <c r="C3">
        <v>35</v>
      </c>
      <c r="D3">
        <v>0.35</v>
      </c>
    </row>
    <row r="4" spans="1:4" x14ac:dyDescent="0.25">
      <c r="A4" t="s">
        <v>0</v>
      </c>
      <c r="B4" t="s">
        <v>3</v>
      </c>
      <c r="C4">
        <v>33</v>
      </c>
      <c r="D4">
        <v>0.33</v>
      </c>
    </row>
    <row r="5" spans="1:4" x14ac:dyDescent="0.25">
      <c r="A5" t="s">
        <v>4</v>
      </c>
      <c r="B5" t="s">
        <v>0</v>
      </c>
      <c r="C5">
        <v>30</v>
      </c>
      <c r="D5">
        <v>0.3</v>
      </c>
    </row>
    <row r="6" spans="1:4" x14ac:dyDescent="0.25">
      <c r="A6" t="s">
        <v>2</v>
      </c>
      <c r="B6" t="s">
        <v>3</v>
      </c>
      <c r="C6">
        <v>29</v>
      </c>
      <c r="D6">
        <v>0.28999999999999998</v>
      </c>
    </row>
    <row r="7" spans="1:4" x14ac:dyDescent="0.25">
      <c r="A7" t="s">
        <v>1</v>
      </c>
      <c r="B7" t="s">
        <v>3</v>
      </c>
      <c r="C7">
        <v>25</v>
      </c>
      <c r="D7">
        <v>0.25</v>
      </c>
    </row>
    <row r="8" spans="1:4" x14ac:dyDescent="0.25">
      <c r="A8" t="s">
        <v>1</v>
      </c>
      <c r="B8" t="s">
        <v>2</v>
      </c>
      <c r="C8">
        <v>25</v>
      </c>
      <c r="D8">
        <v>0.25</v>
      </c>
    </row>
    <row r="9" spans="1:4" x14ac:dyDescent="0.25">
      <c r="A9" t="s">
        <v>5</v>
      </c>
      <c r="B9" t="s">
        <v>0</v>
      </c>
      <c r="C9">
        <v>22</v>
      </c>
      <c r="D9">
        <v>0.22</v>
      </c>
    </row>
    <row r="10" spans="1:4" x14ac:dyDescent="0.25">
      <c r="A10" t="s">
        <v>4</v>
      </c>
      <c r="B10" t="s">
        <v>3</v>
      </c>
      <c r="C10">
        <v>20</v>
      </c>
      <c r="D10">
        <v>0.2</v>
      </c>
    </row>
    <row r="11" spans="1:4" x14ac:dyDescent="0.25">
      <c r="A11" t="s">
        <v>2</v>
      </c>
      <c r="B11" t="s">
        <v>4</v>
      </c>
      <c r="C11">
        <v>19</v>
      </c>
      <c r="D11">
        <v>0.19</v>
      </c>
    </row>
    <row r="12" spans="1:4" x14ac:dyDescent="0.25">
      <c r="A12" t="s">
        <v>4</v>
      </c>
      <c r="B12" t="s">
        <v>5</v>
      </c>
      <c r="C12">
        <v>17</v>
      </c>
      <c r="D12">
        <v>0.17</v>
      </c>
    </row>
    <row r="13" spans="1:4" x14ac:dyDescent="0.25">
      <c r="A13" t="s">
        <v>1</v>
      </c>
      <c r="B13" t="s">
        <v>4</v>
      </c>
      <c r="C13">
        <v>16</v>
      </c>
      <c r="D13">
        <v>0.16</v>
      </c>
    </row>
    <row r="14" spans="1:4" x14ac:dyDescent="0.25">
      <c r="A14" t="s">
        <v>5</v>
      </c>
      <c r="B14" t="s">
        <v>3</v>
      </c>
      <c r="C14">
        <v>16</v>
      </c>
      <c r="D14">
        <v>0.16</v>
      </c>
    </row>
    <row r="15" spans="1:4" x14ac:dyDescent="0.25">
      <c r="A15" t="s">
        <v>1</v>
      </c>
      <c r="B15" t="s">
        <v>6</v>
      </c>
      <c r="C15">
        <v>15</v>
      </c>
      <c r="D15">
        <v>0.15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7BDC0-E0A2-40E8-804C-7099CB9C3D05}">
  <dimension ref="A1:D15"/>
  <sheetViews>
    <sheetView showGridLines="0" workbookViewId="0">
      <selection sqref="A1:D15"/>
    </sheetView>
  </sheetViews>
  <sheetFormatPr defaultRowHeight="15" x14ac:dyDescent="0.25"/>
  <cols>
    <col min="3" max="3" width="12.140625" customWidth="1"/>
    <col min="4" max="4" width="13.42578125" customWidth="1"/>
  </cols>
  <sheetData>
    <row r="1" spans="1:4" x14ac:dyDescent="0.25">
      <c r="A1" s="1" t="s">
        <v>45</v>
      </c>
      <c r="B1" s="1" t="s">
        <v>46</v>
      </c>
      <c r="C1" s="1" t="s">
        <v>47</v>
      </c>
      <c r="D1" s="3" t="s">
        <v>48</v>
      </c>
    </row>
    <row r="2" spans="1:4" x14ac:dyDescent="0.25">
      <c r="A2" t="s">
        <v>2</v>
      </c>
      <c r="B2" t="s">
        <v>0</v>
      </c>
      <c r="C2">
        <v>36</v>
      </c>
      <c r="D2" s="4">
        <v>0.36</v>
      </c>
    </row>
    <row r="3" spans="1:4" x14ac:dyDescent="0.25">
      <c r="A3" t="s">
        <v>1</v>
      </c>
      <c r="B3" t="s">
        <v>0</v>
      </c>
      <c r="C3">
        <v>36</v>
      </c>
      <c r="D3" s="4">
        <v>0.35</v>
      </c>
    </row>
    <row r="4" spans="1:4" x14ac:dyDescent="0.25">
      <c r="A4" t="s">
        <v>0</v>
      </c>
      <c r="B4" t="s">
        <v>3</v>
      </c>
      <c r="C4">
        <v>33</v>
      </c>
      <c r="D4" s="4">
        <v>0.33</v>
      </c>
    </row>
    <row r="5" spans="1:4" x14ac:dyDescent="0.25">
      <c r="A5" t="s">
        <v>4</v>
      </c>
      <c r="B5" t="s">
        <v>0</v>
      </c>
      <c r="C5">
        <v>30</v>
      </c>
      <c r="D5" s="4">
        <v>0.3</v>
      </c>
    </row>
    <row r="6" spans="1:4" x14ac:dyDescent="0.25">
      <c r="A6" t="s">
        <v>2</v>
      </c>
      <c r="B6" t="s">
        <v>3</v>
      </c>
      <c r="C6">
        <v>29</v>
      </c>
      <c r="D6" s="4">
        <v>0.28999999999999998</v>
      </c>
    </row>
    <row r="7" spans="1:4" x14ac:dyDescent="0.25">
      <c r="A7" t="s">
        <v>1</v>
      </c>
      <c r="B7" t="s">
        <v>3</v>
      </c>
      <c r="C7">
        <v>25</v>
      </c>
      <c r="D7" s="4">
        <v>0.25</v>
      </c>
    </row>
    <row r="8" spans="1:4" x14ac:dyDescent="0.25">
      <c r="A8" t="s">
        <v>1</v>
      </c>
      <c r="B8" t="s">
        <v>2</v>
      </c>
      <c r="C8">
        <v>25</v>
      </c>
      <c r="D8" s="4">
        <v>0.25</v>
      </c>
    </row>
    <row r="9" spans="1:4" x14ac:dyDescent="0.25">
      <c r="A9" t="s">
        <v>5</v>
      </c>
      <c r="B9" t="s">
        <v>0</v>
      </c>
      <c r="C9">
        <v>22</v>
      </c>
      <c r="D9" s="4">
        <v>0.22</v>
      </c>
    </row>
    <row r="10" spans="1:4" x14ac:dyDescent="0.25">
      <c r="A10" t="s">
        <v>4</v>
      </c>
      <c r="B10" t="s">
        <v>3</v>
      </c>
      <c r="C10">
        <v>20</v>
      </c>
      <c r="D10" s="4">
        <v>0.2</v>
      </c>
    </row>
    <row r="11" spans="1:4" x14ac:dyDescent="0.25">
      <c r="A11" t="s">
        <v>2</v>
      </c>
      <c r="B11" t="s">
        <v>4</v>
      </c>
      <c r="C11">
        <v>19</v>
      </c>
      <c r="D11" s="4">
        <v>0.19</v>
      </c>
    </row>
    <row r="12" spans="1:4" x14ac:dyDescent="0.25">
      <c r="A12" t="s">
        <v>4</v>
      </c>
      <c r="B12" t="s">
        <v>5</v>
      </c>
      <c r="C12">
        <v>17</v>
      </c>
      <c r="D12" s="4">
        <v>0.17</v>
      </c>
    </row>
    <row r="13" spans="1:4" x14ac:dyDescent="0.25">
      <c r="A13" t="s">
        <v>1</v>
      </c>
      <c r="B13" t="s">
        <v>4</v>
      </c>
      <c r="C13">
        <v>16</v>
      </c>
      <c r="D13" s="4">
        <v>0.16</v>
      </c>
    </row>
    <row r="14" spans="1:4" x14ac:dyDescent="0.25">
      <c r="A14" t="s">
        <v>5</v>
      </c>
      <c r="B14" t="s">
        <v>3</v>
      </c>
      <c r="C14">
        <v>16</v>
      </c>
      <c r="D14" s="4">
        <v>0.16</v>
      </c>
    </row>
    <row r="15" spans="1:4" x14ac:dyDescent="0.25">
      <c r="A15" t="s">
        <v>1</v>
      </c>
      <c r="B15" t="s">
        <v>6</v>
      </c>
      <c r="C15">
        <v>15</v>
      </c>
      <c r="D15" s="4">
        <v>0.15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C306A-3FB3-4319-B4D5-04A1790F68E3}">
  <dimension ref="A1"/>
  <sheetViews>
    <sheetView workbookViewId="0">
      <selection activeCell="J26" sqref="J26"/>
    </sheetView>
  </sheetViews>
  <sheetFormatPr defaultRowHeight="15" x14ac:dyDescent="0.25"/>
  <cols>
    <col min="3" max="3" width="12.140625" customWidth="1"/>
    <col min="4" max="4" width="13" customWidth="1"/>
  </cols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8F2DA-06FA-40AC-943A-E27B4D09B9F4}">
  <dimension ref="A1:G3"/>
  <sheetViews>
    <sheetView workbookViewId="0">
      <selection activeCell="F1" sqref="F1:G3"/>
    </sheetView>
  </sheetViews>
  <sheetFormatPr defaultColWidth="19" defaultRowHeight="15" x14ac:dyDescent="0.25"/>
  <cols>
    <col min="1" max="1" width="19.7109375" bestFit="1" customWidth="1"/>
    <col min="2" max="2" width="9.7109375" bestFit="1" customWidth="1"/>
    <col min="3" max="3" width="12" bestFit="1" customWidth="1"/>
    <col min="6" max="6" width="19.7109375" bestFit="1" customWidth="1"/>
    <col min="7" max="7" width="12" bestFit="1" customWidth="1"/>
  </cols>
  <sheetData>
    <row r="1" spans="1:7" s="1" customFormat="1" x14ac:dyDescent="0.25">
      <c r="A1" s="1" t="s">
        <v>49</v>
      </c>
      <c r="B1" s="1" t="s">
        <v>50</v>
      </c>
      <c r="C1" s="1" t="s">
        <v>44</v>
      </c>
      <c r="F1" s="1" t="s">
        <v>49</v>
      </c>
      <c r="G1" s="1" t="s">
        <v>44</v>
      </c>
    </row>
    <row r="2" spans="1:7" x14ac:dyDescent="0.25">
      <c r="A2" t="s">
        <v>51</v>
      </c>
      <c r="B2">
        <v>45</v>
      </c>
      <c r="C2">
        <v>69004.386362999998</v>
      </c>
      <c r="F2" t="s">
        <v>51</v>
      </c>
      <c r="G2">
        <v>69004.386362999998</v>
      </c>
    </row>
    <row r="3" spans="1:7" x14ac:dyDescent="0.25">
      <c r="A3" t="s">
        <v>52</v>
      </c>
      <c r="B3">
        <v>21</v>
      </c>
      <c r="C3">
        <v>80725.785713999998</v>
      </c>
      <c r="F3" t="s">
        <v>52</v>
      </c>
      <c r="G3">
        <v>80725.785713999998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5B90B-5F48-4B36-9653-9C2B11ED958A}">
  <dimension ref="A1"/>
  <sheetViews>
    <sheetView workbookViewId="0">
      <selection activeCell="X28" sqref="X2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DD008-0BBB-4596-B020-BA02D251D3CB}">
  <dimension ref="A1:C11"/>
  <sheetViews>
    <sheetView workbookViewId="0">
      <selection sqref="A1:B11"/>
    </sheetView>
  </sheetViews>
  <sheetFormatPr defaultRowHeight="15" x14ac:dyDescent="0.25"/>
  <cols>
    <col min="1" max="1" width="17.5703125" bestFit="1" customWidth="1"/>
    <col min="2" max="2" width="10.5703125" bestFit="1" customWidth="1"/>
    <col min="3" max="3" width="21.5703125" bestFit="1" customWidth="1"/>
  </cols>
  <sheetData>
    <row r="1" spans="1:3" s="1" customFormat="1" x14ac:dyDescent="0.25">
      <c r="A1" s="1" t="s">
        <v>10</v>
      </c>
      <c r="B1" s="1" t="s">
        <v>43</v>
      </c>
      <c r="C1" s="1" t="s">
        <v>53</v>
      </c>
    </row>
    <row r="2" spans="1:3" x14ac:dyDescent="0.25">
      <c r="A2" t="s">
        <v>54</v>
      </c>
      <c r="B2">
        <v>42</v>
      </c>
      <c r="C2">
        <v>0.72413793103400004</v>
      </c>
    </row>
    <row r="3" spans="1:3" x14ac:dyDescent="0.25">
      <c r="A3" t="s">
        <v>1</v>
      </c>
      <c r="B3">
        <v>37</v>
      </c>
      <c r="C3">
        <v>0.63793103448199995</v>
      </c>
    </row>
    <row r="4" spans="1:3" x14ac:dyDescent="0.25">
      <c r="A4" t="s">
        <v>3</v>
      </c>
      <c r="B4">
        <v>24</v>
      </c>
      <c r="C4">
        <v>0.41379310344800002</v>
      </c>
    </row>
    <row r="5" spans="1:3" x14ac:dyDescent="0.25">
      <c r="A5" t="s">
        <v>2</v>
      </c>
      <c r="B5">
        <v>24</v>
      </c>
      <c r="C5">
        <v>0.41379310344800002</v>
      </c>
    </row>
    <row r="6" spans="1:3" x14ac:dyDescent="0.25">
      <c r="A6" t="s">
        <v>4</v>
      </c>
      <c r="B6">
        <v>18</v>
      </c>
      <c r="C6">
        <v>0.31034482758600002</v>
      </c>
    </row>
    <row r="7" spans="1:3" x14ac:dyDescent="0.25">
      <c r="A7" t="s">
        <v>5</v>
      </c>
      <c r="B7">
        <v>13</v>
      </c>
      <c r="C7">
        <v>0.22413793103400001</v>
      </c>
    </row>
    <row r="8" spans="1:3" x14ac:dyDescent="0.25">
      <c r="A8" t="s">
        <v>6</v>
      </c>
      <c r="B8">
        <v>10</v>
      </c>
      <c r="C8">
        <v>0.17241379310300001</v>
      </c>
    </row>
    <row r="9" spans="1:3" x14ac:dyDescent="0.25">
      <c r="A9" t="s">
        <v>7</v>
      </c>
      <c r="B9">
        <v>7</v>
      </c>
      <c r="C9">
        <v>0.120689655172</v>
      </c>
    </row>
    <row r="10" spans="1:3" x14ac:dyDescent="0.25">
      <c r="A10" t="s">
        <v>9</v>
      </c>
      <c r="B10">
        <v>6</v>
      </c>
      <c r="C10">
        <v>0.10344827586200001</v>
      </c>
    </row>
    <row r="11" spans="1:3" x14ac:dyDescent="0.25">
      <c r="A11" t="s">
        <v>55</v>
      </c>
      <c r="B11">
        <v>5</v>
      </c>
      <c r="C11">
        <v>8.6206896551000001E-2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ADE3C-3557-465A-B23D-EC9E4681A647}">
  <dimension ref="A1"/>
  <sheetViews>
    <sheetView workbookViewId="0">
      <selection activeCell="W14" sqref="W1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1E54B-140B-4FCD-89EE-C2E07C7BDA70}">
  <dimension ref="A1:D8"/>
  <sheetViews>
    <sheetView workbookViewId="0">
      <selection sqref="A1:C8"/>
    </sheetView>
  </sheetViews>
  <sheetFormatPr defaultRowHeight="15" x14ac:dyDescent="0.25"/>
  <cols>
    <col min="1" max="1" width="15" bestFit="1" customWidth="1"/>
    <col min="2" max="2" width="11" bestFit="1" customWidth="1"/>
    <col min="3" max="3" width="12" bestFit="1" customWidth="1"/>
    <col min="4" max="4" width="10.42578125" bestFit="1" customWidth="1"/>
  </cols>
  <sheetData>
    <row r="1" spans="1:4" s="1" customFormat="1" x14ac:dyDescent="0.25">
      <c r="A1" s="1" t="s">
        <v>10</v>
      </c>
      <c r="B1" s="1" t="s">
        <v>56</v>
      </c>
      <c r="C1" s="1" t="s">
        <v>57</v>
      </c>
      <c r="D1" s="1" t="s">
        <v>58</v>
      </c>
    </row>
    <row r="2" spans="1:4" x14ac:dyDescent="0.25">
      <c r="A2" t="s">
        <v>3</v>
      </c>
      <c r="B2">
        <v>11</v>
      </c>
      <c r="C2">
        <v>25</v>
      </c>
      <c r="D2">
        <v>14</v>
      </c>
    </row>
    <row r="3" spans="1:4" x14ac:dyDescent="0.25">
      <c r="A3" t="s">
        <v>2</v>
      </c>
      <c r="B3">
        <v>13</v>
      </c>
      <c r="C3">
        <v>25</v>
      </c>
      <c r="D3">
        <v>12</v>
      </c>
    </row>
    <row r="4" spans="1:4" x14ac:dyDescent="0.25">
      <c r="A4" t="s">
        <v>4</v>
      </c>
      <c r="B4">
        <v>8</v>
      </c>
      <c r="C4">
        <v>20</v>
      </c>
      <c r="D4">
        <v>12</v>
      </c>
    </row>
    <row r="5" spans="1:4" x14ac:dyDescent="0.25">
      <c r="A5" t="s">
        <v>0</v>
      </c>
      <c r="B5">
        <v>26</v>
      </c>
      <c r="C5">
        <v>34</v>
      </c>
      <c r="D5">
        <v>8</v>
      </c>
    </row>
    <row r="6" spans="1:4" x14ac:dyDescent="0.25">
      <c r="A6" t="s">
        <v>5</v>
      </c>
      <c r="B6">
        <v>9</v>
      </c>
      <c r="C6">
        <v>11</v>
      </c>
      <c r="D6">
        <v>2</v>
      </c>
    </row>
    <row r="7" spans="1:4" x14ac:dyDescent="0.25">
      <c r="A7" t="s">
        <v>1</v>
      </c>
      <c r="B7">
        <v>19</v>
      </c>
      <c r="C7">
        <v>20</v>
      </c>
      <c r="D7">
        <v>1</v>
      </c>
    </row>
    <row r="8" spans="1:4" x14ac:dyDescent="0.25">
      <c r="A8" t="s">
        <v>6</v>
      </c>
      <c r="B8">
        <v>7</v>
      </c>
      <c r="C8">
        <v>7</v>
      </c>
      <c r="D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FC6B7-36D9-4C1A-A89B-7420E5746CCC}">
  <dimension ref="A1"/>
  <sheetViews>
    <sheetView workbookViewId="0">
      <selection activeCell="U10" sqref="U1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93133-94F0-4984-9EAF-97FC26B5940D}">
  <dimension ref="A1:O7"/>
  <sheetViews>
    <sheetView workbookViewId="0">
      <selection activeCell="N1" sqref="N1:O7"/>
    </sheetView>
  </sheetViews>
  <sheetFormatPr defaultRowHeight="15" x14ac:dyDescent="0.25"/>
  <cols>
    <col min="1" max="1" width="23.42578125" bestFit="1" customWidth="1"/>
    <col min="2" max="2" width="9.7109375" bestFit="1" customWidth="1"/>
    <col min="3" max="3" width="10.28515625" bestFit="1" customWidth="1"/>
    <col min="14" max="14" width="23.42578125" bestFit="1" customWidth="1"/>
    <col min="15" max="15" width="12.28515625" customWidth="1"/>
  </cols>
  <sheetData>
    <row r="1" spans="1:15" s="1" customFormat="1" x14ac:dyDescent="0.25">
      <c r="A1" s="1" t="s">
        <v>59</v>
      </c>
      <c r="B1" s="1" t="s">
        <v>14</v>
      </c>
      <c r="C1" s="1" t="s">
        <v>44</v>
      </c>
      <c r="N1" s="1" t="s">
        <v>59</v>
      </c>
      <c r="O1" s="1" t="s">
        <v>44</v>
      </c>
    </row>
    <row r="2" spans="1:15" x14ac:dyDescent="0.25">
      <c r="A2" t="s">
        <v>27</v>
      </c>
      <c r="B2">
        <v>31</v>
      </c>
      <c r="C2">
        <v>69339</v>
      </c>
      <c r="N2" t="s">
        <v>64</v>
      </c>
      <c r="O2">
        <v>130800</v>
      </c>
    </row>
    <row r="3" spans="1:15" x14ac:dyDescent="0.25">
      <c r="A3" t="s">
        <v>60</v>
      </c>
      <c r="B3">
        <v>14</v>
      </c>
      <c r="C3">
        <v>71927</v>
      </c>
      <c r="N3" t="s">
        <v>62</v>
      </c>
      <c r="O3">
        <v>77517</v>
      </c>
    </row>
    <row r="4" spans="1:15" x14ac:dyDescent="0.25">
      <c r="A4" t="s">
        <v>61</v>
      </c>
      <c r="B4">
        <v>4</v>
      </c>
      <c r="C4">
        <v>52106</v>
      </c>
      <c r="N4" t="s">
        <v>60</v>
      </c>
      <c r="O4">
        <v>71927</v>
      </c>
    </row>
    <row r="5" spans="1:15" x14ac:dyDescent="0.25">
      <c r="A5" t="s">
        <v>62</v>
      </c>
      <c r="B5">
        <v>3</v>
      </c>
      <c r="C5">
        <v>77517</v>
      </c>
      <c r="N5" t="s">
        <v>27</v>
      </c>
      <c r="O5">
        <v>69339</v>
      </c>
    </row>
    <row r="6" spans="1:15" x14ac:dyDescent="0.25">
      <c r="A6" t="s">
        <v>63</v>
      </c>
      <c r="B6">
        <v>3</v>
      </c>
      <c r="C6">
        <v>68732</v>
      </c>
      <c r="N6" t="s">
        <v>63</v>
      </c>
      <c r="O6">
        <v>68732</v>
      </c>
    </row>
    <row r="7" spans="1:15" x14ac:dyDescent="0.25">
      <c r="A7" t="s">
        <v>64</v>
      </c>
      <c r="B7">
        <v>3</v>
      </c>
      <c r="C7">
        <v>130800</v>
      </c>
      <c r="N7" t="s">
        <v>61</v>
      </c>
      <c r="O7">
        <v>52106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AEB4E-E7E7-4FB8-8355-FDBE4900E6E1}">
  <dimension ref="A1"/>
  <sheetViews>
    <sheetView workbookViewId="0">
      <selection activeCell="S27" sqref="S2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5B9D1-C999-4B22-9D2D-0D9EC2BAD63A}">
  <dimension ref="A1"/>
  <sheetViews>
    <sheetView workbookViewId="0">
      <selection activeCell="S12" sqref="S1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80856-62B6-460C-8A2D-48496B91ECB4}">
  <dimension ref="A1:I5"/>
  <sheetViews>
    <sheetView workbookViewId="0">
      <selection activeCell="H1" sqref="H1:I5"/>
    </sheetView>
  </sheetViews>
  <sheetFormatPr defaultRowHeight="15" x14ac:dyDescent="0.25"/>
  <cols>
    <col min="1" max="1" width="22.85546875" bestFit="1" customWidth="1"/>
    <col min="2" max="2" width="9.7109375" bestFit="1" customWidth="1"/>
    <col min="3" max="3" width="10.28515625" bestFit="1" customWidth="1"/>
    <col min="8" max="8" width="22.85546875" bestFit="1" customWidth="1"/>
    <col min="9" max="9" width="10.140625" bestFit="1" customWidth="1"/>
  </cols>
  <sheetData>
    <row r="1" spans="1:9" s="1" customFormat="1" x14ac:dyDescent="0.25">
      <c r="A1" s="1" t="s">
        <v>65</v>
      </c>
      <c r="B1" s="1" t="s">
        <v>14</v>
      </c>
      <c r="C1" s="1" t="s">
        <v>44</v>
      </c>
      <c r="H1" s="1" t="s">
        <v>65</v>
      </c>
      <c r="I1" s="1" t="s">
        <v>44</v>
      </c>
    </row>
    <row r="2" spans="1:9" x14ac:dyDescent="0.25">
      <c r="A2" t="s">
        <v>66</v>
      </c>
      <c r="B2">
        <v>4</v>
      </c>
      <c r="C2">
        <v>76118</v>
      </c>
      <c r="H2" t="s">
        <v>66</v>
      </c>
      <c r="I2">
        <v>76118</v>
      </c>
    </row>
    <row r="3" spans="1:9" x14ac:dyDescent="0.25">
      <c r="A3" t="s">
        <v>67</v>
      </c>
      <c r="B3">
        <v>30</v>
      </c>
      <c r="C3">
        <v>73210</v>
      </c>
      <c r="H3" t="s">
        <v>67</v>
      </c>
      <c r="I3">
        <v>73210</v>
      </c>
    </row>
    <row r="4" spans="1:9" x14ac:dyDescent="0.25">
      <c r="A4" t="s">
        <v>68</v>
      </c>
      <c r="B4">
        <v>23</v>
      </c>
      <c r="C4">
        <v>72890</v>
      </c>
      <c r="H4" t="s">
        <v>68</v>
      </c>
      <c r="I4">
        <v>72890</v>
      </c>
    </row>
    <row r="5" spans="1:9" x14ac:dyDescent="0.25">
      <c r="A5" t="s">
        <v>69</v>
      </c>
      <c r="B5">
        <v>8</v>
      </c>
      <c r="C5">
        <v>69267</v>
      </c>
      <c r="H5" t="s">
        <v>69</v>
      </c>
      <c r="I5">
        <v>69267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5010B-0821-467D-8E4A-5383DEAC4414}">
  <dimension ref="A1"/>
  <sheetViews>
    <sheetView workbookViewId="0">
      <selection activeCell="U19" sqref="U1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57C54-803F-4579-BA61-C608099046B4}">
  <dimension ref="A1:C30"/>
  <sheetViews>
    <sheetView workbookViewId="0">
      <selection sqref="A1:C30"/>
    </sheetView>
  </sheetViews>
  <sheetFormatPr defaultRowHeight="15" x14ac:dyDescent="0.25"/>
  <cols>
    <col min="1" max="1" width="23.42578125" bestFit="1" customWidth="1"/>
    <col min="2" max="2" width="15" bestFit="1" customWidth="1"/>
    <col min="3" max="3" width="11.28515625" bestFit="1" customWidth="1"/>
  </cols>
  <sheetData>
    <row r="1" spans="1:3" s="1" customFormat="1" x14ac:dyDescent="0.25">
      <c r="A1" s="1" t="s">
        <v>59</v>
      </c>
      <c r="B1" s="1" t="s">
        <v>10</v>
      </c>
      <c r="C1" s="1" t="s">
        <v>48</v>
      </c>
    </row>
    <row r="2" spans="1:3" x14ac:dyDescent="0.25">
      <c r="A2" t="s">
        <v>63</v>
      </c>
      <c r="B2" t="s">
        <v>1</v>
      </c>
      <c r="C2">
        <v>1</v>
      </c>
    </row>
    <row r="3" spans="1:3" x14ac:dyDescent="0.25">
      <c r="A3" t="s">
        <v>63</v>
      </c>
      <c r="B3" t="s">
        <v>6</v>
      </c>
      <c r="C3">
        <v>0.67</v>
      </c>
    </row>
    <row r="4" spans="1:3" x14ac:dyDescent="0.25">
      <c r="A4" t="s">
        <v>63</v>
      </c>
      <c r="B4" t="s">
        <v>5</v>
      </c>
      <c r="C4">
        <v>0.33</v>
      </c>
    </row>
    <row r="5" spans="1:3" x14ac:dyDescent="0.25">
      <c r="A5" t="s">
        <v>63</v>
      </c>
      <c r="B5" t="s">
        <v>0</v>
      </c>
      <c r="C5">
        <v>0.33</v>
      </c>
    </row>
    <row r="6" spans="1:3" x14ac:dyDescent="0.25">
      <c r="A6" t="s">
        <v>63</v>
      </c>
      <c r="B6" t="s">
        <v>3</v>
      </c>
      <c r="C6">
        <v>0.33</v>
      </c>
    </row>
    <row r="7" spans="1:3" x14ac:dyDescent="0.25">
      <c r="A7" t="s">
        <v>64</v>
      </c>
      <c r="B7" t="s">
        <v>1</v>
      </c>
      <c r="C7">
        <v>0.33</v>
      </c>
    </row>
    <row r="8" spans="1:3" x14ac:dyDescent="0.25">
      <c r="A8" t="s">
        <v>64</v>
      </c>
      <c r="B8" t="s">
        <v>6</v>
      </c>
      <c r="C8">
        <v>0.33</v>
      </c>
    </row>
    <row r="9" spans="1:3" x14ac:dyDescent="0.25">
      <c r="A9" t="s">
        <v>64</v>
      </c>
      <c r="B9" t="s">
        <v>4</v>
      </c>
      <c r="C9">
        <v>0.67</v>
      </c>
    </row>
    <row r="10" spans="1:3" x14ac:dyDescent="0.25">
      <c r="A10" t="s">
        <v>64</v>
      </c>
      <c r="B10" t="s">
        <v>0</v>
      </c>
      <c r="C10">
        <v>1</v>
      </c>
    </row>
    <row r="11" spans="1:3" x14ac:dyDescent="0.25">
      <c r="A11" t="s">
        <v>60</v>
      </c>
      <c r="B11" t="s">
        <v>7</v>
      </c>
      <c r="C11">
        <v>0.14000000000000001</v>
      </c>
    </row>
    <row r="12" spans="1:3" x14ac:dyDescent="0.25">
      <c r="A12" t="s">
        <v>60</v>
      </c>
      <c r="B12" t="s">
        <v>1</v>
      </c>
      <c r="C12">
        <v>0.64</v>
      </c>
    </row>
    <row r="13" spans="1:3" x14ac:dyDescent="0.25">
      <c r="A13" t="s">
        <v>60</v>
      </c>
      <c r="B13" t="s">
        <v>6</v>
      </c>
      <c r="C13">
        <v>0.14000000000000001</v>
      </c>
    </row>
    <row r="14" spans="1:3" x14ac:dyDescent="0.25">
      <c r="A14" t="s">
        <v>60</v>
      </c>
      <c r="B14" t="s">
        <v>2</v>
      </c>
      <c r="C14">
        <v>0.28999999999999998</v>
      </c>
    </row>
    <row r="15" spans="1:3" x14ac:dyDescent="0.25">
      <c r="A15" t="s">
        <v>60</v>
      </c>
      <c r="B15" t="s">
        <v>4</v>
      </c>
      <c r="C15">
        <v>0.43</v>
      </c>
    </row>
    <row r="16" spans="1:3" x14ac:dyDescent="0.25">
      <c r="A16" t="s">
        <v>60</v>
      </c>
      <c r="B16" t="s">
        <v>5</v>
      </c>
      <c r="C16">
        <v>0.36</v>
      </c>
    </row>
    <row r="17" spans="1:3" x14ac:dyDescent="0.25">
      <c r="A17" t="s">
        <v>60</v>
      </c>
      <c r="B17" t="s">
        <v>0</v>
      </c>
      <c r="C17">
        <v>0.93</v>
      </c>
    </row>
    <row r="18" spans="1:3" x14ac:dyDescent="0.25">
      <c r="A18" t="s">
        <v>60</v>
      </c>
      <c r="B18" t="s">
        <v>3</v>
      </c>
      <c r="C18">
        <v>0.36</v>
      </c>
    </row>
    <row r="19" spans="1:3" x14ac:dyDescent="0.25">
      <c r="A19" t="s">
        <v>62</v>
      </c>
      <c r="B19" t="s">
        <v>7</v>
      </c>
      <c r="C19">
        <v>0.33</v>
      </c>
    </row>
    <row r="20" spans="1:3" x14ac:dyDescent="0.25">
      <c r="A20" t="s">
        <v>62</v>
      </c>
      <c r="B20" t="s">
        <v>1</v>
      </c>
      <c r="C20">
        <v>0.67</v>
      </c>
    </row>
    <row r="21" spans="1:3" x14ac:dyDescent="0.25">
      <c r="A21" t="s">
        <v>62</v>
      </c>
      <c r="B21" t="s">
        <v>2</v>
      </c>
      <c r="C21">
        <v>0.33</v>
      </c>
    </row>
    <row r="22" spans="1:3" x14ac:dyDescent="0.25">
      <c r="A22" t="s">
        <v>62</v>
      </c>
      <c r="B22" t="s">
        <v>4</v>
      </c>
      <c r="C22">
        <v>0.33</v>
      </c>
    </row>
    <row r="23" spans="1:3" x14ac:dyDescent="0.25">
      <c r="A23" t="s">
        <v>62</v>
      </c>
      <c r="B23" t="s">
        <v>5</v>
      </c>
      <c r="C23">
        <v>0.33</v>
      </c>
    </row>
    <row r="24" spans="1:3" x14ac:dyDescent="0.25">
      <c r="A24" t="s">
        <v>62</v>
      </c>
      <c r="B24" t="s">
        <v>54</v>
      </c>
      <c r="C24">
        <v>1</v>
      </c>
    </row>
    <row r="25" spans="1:3" x14ac:dyDescent="0.25">
      <c r="A25" t="s">
        <v>61</v>
      </c>
      <c r="B25" t="s">
        <v>1</v>
      </c>
      <c r="C25">
        <v>0.75</v>
      </c>
    </row>
    <row r="26" spans="1:3" x14ac:dyDescent="0.25">
      <c r="A26" t="s">
        <v>61</v>
      </c>
      <c r="B26" t="s">
        <v>2</v>
      </c>
      <c r="C26">
        <v>0.25</v>
      </c>
    </row>
    <row r="27" spans="1:3" x14ac:dyDescent="0.25">
      <c r="A27" t="s">
        <v>61</v>
      </c>
      <c r="B27" t="s">
        <v>4</v>
      </c>
      <c r="C27">
        <v>0.5</v>
      </c>
    </row>
    <row r="28" spans="1:3" x14ac:dyDescent="0.25">
      <c r="A28" t="s">
        <v>61</v>
      </c>
      <c r="B28" t="s">
        <v>5</v>
      </c>
      <c r="C28">
        <v>0.25</v>
      </c>
    </row>
    <row r="29" spans="1:3" x14ac:dyDescent="0.25">
      <c r="A29" t="s">
        <v>61</v>
      </c>
      <c r="B29" t="s">
        <v>0</v>
      </c>
      <c r="C29">
        <v>0.5</v>
      </c>
    </row>
    <row r="30" spans="1:3" x14ac:dyDescent="0.25">
      <c r="A30" t="s">
        <v>61</v>
      </c>
      <c r="B30" t="s">
        <v>3</v>
      </c>
      <c r="C30">
        <v>0.25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BA988-49B5-4914-9745-BCE614C210B9}">
  <dimension ref="A2:J10"/>
  <sheetViews>
    <sheetView showGridLines="0" zoomScale="90" zoomScaleNormal="90" workbookViewId="0">
      <selection sqref="A1:J10"/>
    </sheetView>
  </sheetViews>
  <sheetFormatPr defaultRowHeight="15" x14ac:dyDescent="0.25"/>
  <cols>
    <col min="1" max="1" width="20.42578125" bestFit="1" customWidth="1"/>
    <col min="2" max="2" width="11.85546875" bestFit="1" customWidth="1"/>
    <col min="3" max="3" width="5.140625" bestFit="1" customWidth="1"/>
    <col min="4" max="4" width="13.140625" bestFit="1" customWidth="1"/>
    <col min="5" max="5" width="7.42578125" bestFit="1" customWidth="1"/>
    <col min="6" max="6" width="6" bestFit="1" customWidth="1"/>
    <col min="7" max="7" width="4.140625" bestFit="1" customWidth="1"/>
    <col min="8" max="9" width="5.140625" bestFit="1" customWidth="1"/>
    <col min="10" max="10" width="6.5703125" bestFit="1" customWidth="1"/>
    <col min="11" max="11" width="10" bestFit="1" customWidth="1"/>
  </cols>
  <sheetData>
    <row r="2" spans="1:10" ht="18.75" x14ac:dyDescent="0.3">
      <c r="B2" s="7"/>
    </row>
    <row r="4" spans="1:10" s="6" customFormat="1" x14ac:dyDescent="0.25">
      <c r="A4" s="8" t="s">
        <v>73</v>
      </c>
      <c r="B4"/>
      <c r="C4" s="9"/>
      <c r="D4" s="9"/>
      <c r="E4" s="9"/>
      <c r="F4" s="9"/>
      <c r="G4" s="9"/>
      <c r="H4" s="9"/>
      <c r="I4" s="9"/>
      <c r="J4" s="9"/>
    </row>
    <row r="5" spans="1:10" s="6" customFormat="1" x14ac:dyDescent="0.25">
      <c r="A5"/>
      <c r="B5" s="9" t="s">
        <v>7</v>
      </c>
      <c r="C5" s="9" t="s">
        <v>1</v>
      </c>
      <c r="D5" s="9" t="s">
        <v>6</v>
      </c>
      <c r="E5" s="9" t="s">
        <v>2</v>
      </c>
      <c r="F5" s="9" t="s">
        <v>4</v>
      </c>
      <c r="G5" s="9" t="s">
        <v>5</v>
      </c>
      <c r="H5" s="9" t="s">
        <v>0</v>
      </c>
      <c r="I5" s="9" t="s">
        <v>54</v>
      </c>
      <c r="J5" s="9" t="s">
        <v>3</v>
      </c>
    </row>
    <row r="6" spans="1:10" x14ac:dyDescent="0.25">
      <c r="A6" t="s">
        <v>63</v>
      </c>
      <c r="B6" s="5"/>
      <c r="C6" s="5">
        <v>1</v>
      </c>
      <c r="D6" s="5">
        <v>0.67</v>
      </c>
      <c r="E6" s="5"/>
      <c r="F6" s="5"/>
      <c r="G6" s="5">
        <v>0.33</v>
      </c>
      <c r="H6" s="5">
        <v>0.33</v>
      </c>
      <c r="I6" s="5"/>
      <c r="J6" s="5">
        <v>0.33</v>
      </c>
    </row>
    <row r="7" spans="1:10" x14ac:dyDescent="0.25">
      <c r="A7" t="s">
        <v>64</v>
      </c>
      <c r="B7" s="5"/>
      <c r="C7" s="5">
        <v>0.33</v>
      </c>
      <c r="D7" s="5">
        <v>0.33</v>
      </c>
      <c r="E7" s="5"/>
      <c r="F7" s="5">
        <v>0.67</v>
      </c>
      <c r="G7" s="5"/>
      <c r="H7" s="5">
        <v>1</v>
      </c>
      <c r="I7" s="5"/>
      <c r="J7" s="5"/>
    </row>
    <row r="8" spans="1:10" x14ac:dyDescent="0.25">
      <c r="A8" t="s">
        <v>60</v>
      </c>
      <c r="B8" s="5">
        <v>0.14000000000000001</v>
      </c>
      <c r="C8" s="5">
        <v>0.64</v>
      </c>
      <c r="D8" s="5">
        <v>0.14000000000000001</v>
      </c>
      <c r="E8" s="5">
        <v>0.28999999999999998</v>
      </c>
      <c r="F8" s="5">
        <v>0.43</v>
      </c>
      <c r="G8" s="5">
        <v>0.36</v>
      </c>
      <c r="H8" s="5">
        <v>0.93</v>
      </c>
      <c r="I8" s="5"/>
      <c r="J8" s="5">
        <v>0.36</v>
      </c>
    </row>
    <row r="9" spans="1:10" x14ac:dyDescent="0.25">
      <c r="A9" t="s">
        <v>62</v>
      </c>
      <c r="B9" s="5">
        <v>0.33</v>
      </c>
      <c r="C9" s="5">
        <v>0.67</v>
      </c>
      <c r="D9" s="5"/>
      <c r="E9" s="5">
        <v>0.33</v>
      </c>
      <c r="F9" s="5">
        <v>0.33</v>
      </c>
      <c r="G9" s="5">
        <v>0.33</v>
      </c>
      <c r="H9" s="5"/>
      <c r="I9" s="5">
        <v>1</v>
      </c>
      <c r="J9" s="5"/>
    </row>
    <row r="10" spans="1:10" x14ac:dyDescent="0.25">
      <c r="A10" t="s">
        <v>61</v>
      </c>
      <c r="B10" s="5"/>
      <c r="C10" s="5">
        <v>0.75</v>
      </c>
      <c r="D10" s="5"/>
      <c r="E10" s="5">
        <v>0.25</v>
      </c>
      <c r="F10" s="5">
        <v>0.5</v>
      </c>
      <c r="G10" s="5">
        <v>0.25</v>
      </c>
      <c r="H10" s="5">
        <v>0.5</v>
      </c>
      <c r="I10" s="5"/>
      <c r="J10" s="5">
        <v>0.25</v>
      </c>
    </row>
  </sheetData>
  <conditionalFormatting pivot="1" sqref="B6:J10">
    <cfRule type="colorScale" priority="1">
      <colorScale>
        <cfvo type="num" val="0"/>
        <cfvo type="num" val="0.5"/>
        <cfvo type="num" val="1"/>
        <color rgb="FFF8696B"/>
        <color rgb="FFFCFCFF"/>
        <color rgb="FF5A8AC6"/>
      </colorScale>
    </cfRule>
  </conditionalFormatting>
  <pageMargins left="0.7" right="0.7" top="0.75" bottom="0.75" header="0.3" footer="0.3"/>
  <pageSetup orientation="portrait" r:id="rId2"/>
  <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C37E5-A33F-43FA-B7D9-343379B1DA94}">
  <dimension ref="A1"/>
  <sheetViews>
    <sheetView showGridLines="0" workbookViewId="0">
      <selection activeCell="D18" sqref="D1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Q1_TopSkills</vt:lpstr>
      <vt:lpstr>Q1_Chart</vt:lpstr>
      <vt:lpstr>Q2_ExperienceSalary</vt:lpstr>
      <vt:lpstr>Q2_Chart</vt:lpstr>
      <vt:lpstr>Q3_TopLocations</vt:lpstr>
      <vt:lpstr>Q3_Chart</vt:lpstr>
      <vt:lpstr>Q4_TopPayingSkills</vt:lpstr>
      <vt:lpstr>Q4_Chart</vt:lpstr>
      <vt:lpstr>Q5_SkillCombos</vt:lpstr>
      <vt:lpstr>Q5_Table</vt:lpstr>
      <vt:lpstr>Q5_Visual</vt:lpstr>
      <vt:lpstr>Q6_PythonComparison</vt:lpstr>
      <vt:lpstr>Q6_Chart</vt:lpstr>
      <vt:lpstr>Q7_RemoteSkills</vt:lpstr>
      <vt:lpstr>Q7_Chart</vt:lpstr>
      <vt:lpstr>Q8_EntryVsEarly</vt:lpstr>
      <vt:lpstr>Q8_Chart</vt:lpstr>
      <vt:lpstr>Q9_Industries</vt:lpstr>
      <vt:lpstr>Q9_Chart_1</vt:lpstr>
      <vt:lpstr>Q9_Chart_2</vt:lpstr>
      <vt:lpstr>Q10_SQLToolCombos</vt:lpstr>
      <vt:lpstr>Q10_Chart</vt:lpstr>
      <vt:lpstr>Q11_IndustrySkillMatrix</vt:lpstr>
      <vt:lpstr>Q11_PivotTable</vt:lpstr>
      <vt:lpstr>PivotTable_Photo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Mitchell</dc:creator>
  <cp:lastModifiedBy>Stephanie Mitchell</cp:lastModifiedBy>
  <dcterms:created xsi:type="dcterms:W3CDTF">2026-05-01T16:48:52Z</dcterms:created>
  <dcterms:modified xsi:type="dcterms:W3CDTF">2026-05-05T14:14:05Z</dcterms:modified>
</cp:coreProperties>
</file>